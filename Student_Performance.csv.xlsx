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950\Downloads\"/>
    </mc:Choice>
  </mc:AlternateContent>
  <xr:revisionPtr revIDLastSave="0" documentId="13_ncr:1_{1F1B8649-FE07-408A-BA7F-DDC68F92FB31}" xr6:coauthVersionLast="47" xr6:coauthVersionMax="47" xr10:uidLastSave="{00000000-0000-0000-0000-000000000000}"/>
  <bookViews>
    <workbookView xWindow="51" yWindow="0" windowWidth="12309" windowHeight="12994" activeTab="2" xr2:uid="{BEE817E3-9D16-4416-89F2-3AEC513916A0}"/>
  </bookViews>
  <sheets>
    <sheet name="Student_Performance" sheetId="1" r:id="rId1"/>
    <sheet name="PivotTable1" sheetId="3" r:id="rId2"/>
    <sheet name="PivotTable2" sheetId="4" r:id="rId3"/>
    <sheet name="VLookUp Sheet" sheetId="5" r:id="rId4"/>
  </sheets>
  <calcPr calcId="191029"/>
  <pivotCaches>
    <pivotCache cacheId="5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5" l="1"/>
  <c r="K7" i="1"/>
  <c r="K6" i="1"/>
  <c r="K5" i="1"/>
  <c r="K4" i="1"/>
  <c r="K3" i="1"/>
  <c r="K2" i="1"/>
  <c r="I10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2" i="1"/>
</calcChain>
</file>

<file path=xl/sharedStrings.xml><?xml version="1.0" encoding="utf-8"?>
<sst xmlns="http://schemas.openxmlformats.org/spreadsheetml/2006/main" count="530" uniqueCount="74">
  <si>
    <t>Student_ID</t>
  </si>
  <si>
    <t>Name</t>
  </si>
  <si>
    <t>Subject</t>
  </si>
  <si>
    <t>Grade</t>
  </si>
  <si>
    <t>Attendance_%</t>
  </si>
  <si>
    <t>Performance_status</t>
  </si>
  <si>
    <t>At_Risk</t>
  </si>
  <si>
    <t>Attendance_flag</t>
  </si>
  <si>
    <t>Vikas</t>
  </si>
  <si>
    <t>Math</t>
  </si>
  <si>
    <t>Average</t>
  </si>
  <si>
    <t>No</t>
  </si>
  <si>
    <t>OK</t>
  </si>
  <si>
    <t>Sneha</t>
  </si>
  <si>
    <t>English</t>
  </si>
  <si>
    <t>High</t>
  </si>
  <si>
    <t>Pooja</t>
  </si>
  <si>
    <t>Science</t>
  </si>
  <si>
    <t>Low</t>
  </si>
  <si>
    <t>Yes</t>
  </si>
  <si>
    <t>Ravi</t>
  </si>
  <si>
    <t>Attendance Issue</t>
  </si>
  <si>
    <t>Varun</t>
  </si>
  <si>
    <t>Aditya</t>
  </si>
  <si>
    <t>Aditi</t>
  </si>
  <si>
    <t>Swati</t>
  </si>
  <si>
    <t>Rituraj</t>
  </si>
  <si>
    <t>Rakesh</t>
  </si>
  <si>
    <t>Kavya</t>
  </si>
  <si>
    <t>Divya</t>
  </si>
  <si>
    <t>Meera</t>
  </si>
  <si>
    <t>Om</t>
  </si>
  <si>
    <t>Sonali</t>
  </si>
  <si>
    <t>Payal</t>
  </si>
  <si>
    <t>Ankita</t>
  </si>
  <si>
    <t>Saurabh</t>
  </si>
  <si>
    <t>Pranav</t>
  </si>
  <si>
    <t>Priya</t>
  </si>
  <si>
    <t>Kunal</t>
  </si>
  <si>
    <t>Rohan</t>
  </si>
  <si>
    <t>Mohit</t>
  </si>
  <si>
    <t>Neha</t>
  </si>
  <si>
    <t>Ayesha</t>
  </si>
  <si>
    <t>Preeti</t>
  </si>
  <si>
    <t>Manoj</t>
  </si>
  <si>
    <t>Komal</t>
  </si>
  <si>
    <t>Naveen</t>
  </si>
  <si>
    <t>Pallavi</t>
  </si>
  <si>
    <t>Isha</t>
  </si>
  <si>
    <t>Amit</t>
  </si>
  <si>
    <t>Tanvi</t>
  </si>
  <si>
    <t>Anjali</t>
  </si>
  <si>
    <t>Simran</t>
  </si>
  <si>
    <t>Rohit</t>
  </si>
  <si>
    <t>Bhavya</t>
  </si>
  <si>
    <t>Yash</t>
  </si>
  <si>
    <t>Riya</t>
  </si>
  <si>
    <t>Arjun</t>
  </si>
  <si>
    <t>Aakash</t>
  </si>
  <si>
    <t>Harsh</t>
  </si>
  <si>
    <t>Rahul</t>
  </si>
  <si>
    <t>Result</t>
  </si>
  <si>
    <t>Student ID</t>
  </si>
  <si>
    <t>Average Grade</t>
  </si>
  <si>
    <t>Total Students</t>
  </si>
  <si>
    <t>Highest Grade</t>
  </si>
  <si>
    <t>Lowest Grade</t>
  </si>
  <si>
    <t>At-Risk Students</t>
  </si>
  <si>
    <t>Average Attendance</t>
  </si>
  <si>
    <t>Row Labels</t>
  </si>
  <si>
    <t>(blank)</t>
  </si>
  <si>
    <t>Grand Total</t>
  </si>
  <si>
    <t>Average of Grade</t>
  </si>
  <si>
    <t>Sum of Student_ID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</si>
</sst>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91950" refreshedDate="46036.870646875002" createdVersion="8" refreshedVersion="8" minRefreshableVersion="3" recordCount="101" xr:uid="{76D670EE-1615-4A75-B09E-68F679C38791}">
  <cacheSource type="worksheet">
    <worksheetSource ref="A1:I102" sheet="Student_Performance"/>
  </cacheSource>
  <cacheFields count="9">
    <cacheField name="Student_ID" numFmtId="0">
      <sharedItems containsString="0" containsBlank="1" containsNumber="1" containsInteger="1" minValue="1" maxValue="100"/>
    </cacheField>
    <cacheField name="Name" numFmtId="0">
      <sharedItems containsBlank="1"/>
    </cacheField>
    <cacheField name="Subject" numFmtId="0">
      <sharedItems containsBlank="1" count="4">
        <s v="Math"/>
        <s v="English"/>
        <s v="Science"/>
        <m/>
      </sharedItems>
    </cacheField>
    <cacheField name="Grade" numFmtId="0">
      <sharedItems containsString="0" containsBlank="1" containsNumber="1" containsInteger="1" minValue="30" maxValue="95"/>
    </cacheField>
    <cacheField name="Attendance_%" numFmtId="0">
      <sharedItems containsString="0" containsBlank="1" containsNumber="1" containsInteger="1" minValue="45" maxValue="98"/>
    </cacheField>
    <cacheField name="Performance_status" numFmtId="0">
      <sharedItems containsBlank="1"/>
    </cacheField>
    <cacheField name="At_Risk" numFmtId="0">
      <sharedItems containsBlank="1" count="3">
        <s v="No"/>
        <s v="Yes"/>
        <m/>
      </sharedItems>
    </cacheField>
    <cacheField name="Attendance_flag" numFmtId="0">
      <sharedItems containsBlank="1"/>
    </cacheField>
    <cacheField name="Resul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n v="1"/>
    <s v="Vikas"/>
    <x v="0"/>
    <n v="63"/>
    <n v="92"/>
    <s v="Average"/>
    <x v="0"/>
    <s v="OK"/>
    <s v="Pass"/>
  </r>
  <r>
    <n v="2"/>
    <s v="Sneha"/>
    <x v="1"/>
    <n v="93"/>
    <n v="86"/>
    <s v="High"/>
    <x v="0"/>
    <s v="OK"/>
    <s v="Pass"/>
  </r>
  <r>
    <n v="3"/>
    <s v="Pooja"/>
    <x v="2"/>
    <n v="33"/>
    <n v="60"/>
    <s v="Low"/>
    <x v="1"/>
    <s v="OK"/>
    <s v="Fail"/>
  </r>
  <r>
    <n v="4"/>
    <s v="Ravi"/>
    <x v="0"/>
    <n v="94"/>
    <n v="57"/>
    <s v="Low"/>
    <x v="1"/>
    <s v="Attendance Issue"/>
    <s v="Pass"/>
  </r>
  <r>
    <n v="5"/>
    <s v="Varun"/>
    <x v="1"/>
    <n v="60"/>
    <n v="83"/>
    <s v="Average"/>
    <x v="0"/>
    <s v="OK"/>
    <s v="Pass"/>
  </r>
  <r>
    <n v="6"/>
    <s v="Aditya"/>
    <x v="1"/>
    <n v="33"/>
    <n v="78"/>
    <s v="Low"/>
    <x v="1"/>
    <s v="OK"/>
    <s v="Fail"/>
  </r>
  <r>
    <n v="7"/>
    <s v="Aditi"/>
    <x v="0"/>
    <n v="36"/>
    <n v="61"/>
    <s v="Low"/>
    <x v="1"/>
    <s v="OK"/>
    <s v="Fail"/>
  </r>
  <r>
    <n v="8"/>
    <s v="Swati"/>
    <x v="2"/>
    <n v="55"/>
    <n v="80"/>
    <s v="Average"/>
    <x v="0"/>
    <s v="OK"/>
    <s v="Pass"/>
  </r>
  <r>
    <n v="9"/>
    <s v="Rituraj"/>
    <x v="2"/>
    <n v="43"/>
    <n v="75"/>
    <s v="Low"/>
    <x v="1"/>
    <s v="OK"/>
    <s v="Pass"/>
  </r>
  <r>
    <n v="10"/>
    <s v="Rakesh"/>
    <x v="1"/>
    <n v="52"/>
    <n v="46"/>
    <s v="Low"/>
    <x v="1"/>
    <s v="Attendance Issue"/>
    <s v="Pass"/>
  </r>
  <r>
    <n v="11"/>
    <s v="Varun"/>
    <x v="2"/>
    <n v="83"/>
    <n v="98"/>
    <s v="High"/>
    <x v="0"/>
    <s v="OK"/>
    <s v="Pass"/>
  </r>
  <r>
    <n v="12"/>
    <s v="Kavya"/>
    <x v="2"/>
    <n v="85"/>
    <n v="48"/>
    <s v="Low"/>
    <x v="1"/>
    <s v="Attendance Issue"/>
    <s v="Pass"/>
  </r>
  <r>
    <n v="13"/>
    <s v="Divya"/>
    <x v="1"/>
    <n v="40"/>
    <n v="58"/>
    <s v="Low"/>
    <x v="1"/>
    <s v="Attendance Issue"/>
    <s v="Pass"/>
  </r>
  <r>
    <n v="14"/>
    <s v="Meera"/>
    <x v="2"/>
    <n v="60"/>
    <n v="73"/>
    <s v="Average"/>
    <x v="0"/>
    <s v="OK"/>
    <s v="Pass"/>
  </r>
  <r>
    <n v="15"/>
    <s v="Om"/>
    <x v="0"/>
    <n v="68"/>
    <n v="65"/>
    <s v="Average"/>
    <x v="0"/>
    <s v="OK"/>
    <s v="Pass"/>
  </r>
  <r>
    <n v="16"/>
    <s v="Sonali"/>
    <x v="2"/>
    <n v="79"/>
    <n v="58"/>
    <s v="Low"/>
    <x v="1"/>
    <s v="Attendance Issue"/>
    <s v="Pass"/>
  </r>
  <r>
    <n v="17"/>
    <s v="Payal"/>
    <x v="2"/>
    <n v="63"/>
    <n v="57"/>
    <s v="Low"/>
    <x v="1"/>
    <s v="Attendance Issue"/>
    <s v="Pass"/>
  </r>
  <r>
    <n v="18"/>
    <s v="Ankita"/>
    <x v="1"/>
    <n v="37"/>
    <n v="55"/>
    <s v="Low"/>
    <x v="1"/>
    <s v="Attendance Issue"/>
    <s v="Fail"/>
  </r>
  <r>
    <n v="19"/>
    <s v="Saurabh"/>
    <x v="2"/>
    <n v="48"/>
    <n v="83"/>
    <s v="Low"/>
    <x v="1"/>
    <s v="OK"/>
    <s v="Pass"/>
  </r>
  <r>
    <n v="20"/>
    <s v="Pranav"/>
    <x v="2"/>
    <n v="38"/>
    <n v="49"/>
    <s v="Low"/>
    <x v="1"/>
    <s v="Attendance Issue"/>
    <s v="Fail"/>
  </r>
  <r>
    <n v="21"/>
    <s v="Sonali"/>
    <x v="0"/>
    <n v="69"/>
    <n v="95"/>
    <s v="Average"/>
    <x v="0"/>
    <s v="OK"/>
    <s v="Pass"/>
  </r>
  <r>
    <n v="22"/>
    <s v="Pooja"/>
    <x v="1"/>
    <n v="55"/>
    <n v="95"/>
    <s v="Average"/>
    <x v="0"/>
    <s v="OK"/>
    <s v="Pass"/>
  </r>
  <r>
    <n v="23"/>
    <s v="Priya"/>
    <x v="2"/>
    <n v="93"/>
    <n v="48"/>
    <s v="Low"/>
    <x v="1"/>
    <s v="Attendance Issue"/>
    <s v="Pass"/>
  </r>
  <r>
    <n v="24"/>
    <s v="Kunal"/>
    <x v="0"/>
    <n v="95"/>
    <n v="87"/>
    <s v="High"/>
    <x v="0"/>
    <s v="OK"/>
    <s v="Pass"/>
  </r>
  <r>
    <n v="25"/>
    <s v="Sneha"/>
    <x v="0"/>
    <n v="32"/>
    <n v="59"/>
    <s v="Low"/>
    <x v="1"/>
    <s v="Attendance Issue"/>
    <s v="Fail"/>
  </r>
  <r>
    <n v="26"/>
    <s v="Rohan"/>
    <x v="2"/>
    <n v="30"/>
    <n v="80"/>
    <s v="Low"/>
    <x v="1"/>
    <s v="OK"/>
    <s v="Fail"/>
  </r>
  <r>
    <n v="27"/>
    <s v="Rituraj"/>
    <x v="2"/>
    <n v="70"/>
    <n v="51"/>
    <s v="Low"/>
    <x v="1"/>
    <s v="Attendance Issue"/>
    <s v="Pass"/>
  </r>
  <r>
    <n v="28"/>
    <s v="Mohit"/>
    <x v="1"/>
    <n v="58"/>
    <n v="91"/>
    <s v="Average"/>
    <x v="0"/>
    <s v="OK"/>
    <s v="Pass"/>
  </r>
  <r>
    <n v="29"/>
    <s v="Neha"/>
    <x v="0"/>
    <n v="69"/>
    <n v="55"/>
    <s v="Low"/>
    <x v="1"/>
    <s v="Attendance Issue"/>
    <s v="Pass"/>
  </r>
  <r>
    <n v="30"/>
    <s v="Ayesha"/>
    <x v="1"/>
    <n v="82"/>
    <n v="96"/>
    <s v="High"/>
    <x v="0"/>
    <s v="OK"/>
    <s v="Pass"/>
  </r>
  <r>
    <n v="31"/>
    <s v="Aditya"/>
    <x v="1"/>
    <n v="63"/>
    <n v="67"/>
    <s v="Average"/>
    <x v="0"/>
    <s v="OK"/>
    <s v="Pass"/>
  </r>
  <r>
    <n v="32"/>
    <s v="Swati"/>
    <x v="0"/>
    <n v="30"/>
    <n v="87"/>
    <s v="Low"/>
    <x v="1"/>
    <s v="OK"/>
    <s v="Fail"/>
  </r>
  <r>
    <n v="33"/>
    <s v="Aditya"/>
    <x v="1"/>
    <n v="41"/>
    <n v="62"/>
    <s v="Low"/>
    <x v="1"/>
    <s v="OK"/>
    <s v="Pass"/>
  </r>
  <r>
    <n v="34"/>
    <s v="Sneha"/>
    <x v="1"/>
    <n v="48"/>
    <n v="84"/>
    <s v="Low"/>
    <x v="1"/>
    <s v="OK"/>
    <s v="Pass"/>
  </r>
  <r>
    <n v="35"/>
    <s v="Preeti"/>
    <x v="2"/>
    <n v="66"/>
    <n v="51"/>
    <s v="Low"/>
    <x v="1"/>
    <s v="Attendance Issue"/>
    <s v="Pass"/>
  </r>
  <r>
    <n v="36"/>
    <s v="Manoj"/>
    <x v="2"/>
    <n v="90"/>
    <n v="80"/>
    <s v="High"/>
    <x v="0"/>
    <s v="OK"/>
    <s v="Pass"/>
  </r>
  <r>
    <n v="37"/>
    <s v="Om"/>
    <x v="1"/>
    <n v="92"/>
    <n v="67"/>
    <s v="High"/>
    <x v="0"/>
    <s v="OK"/>
    <s v="Pass"/>
  </r>
  <r>
    <n v="38"/>
    <s v="Komal"/>
    <x v="1"/>
    <n v="30"/>
    <n v="79"/>
    <s v="Low"/>
    <x v="1"/>
    <s v="OK"/>
    <s v="Fail"/>
  </r>
  <r>
    <n v="39"/>
    <s v="Aditya"/>
    <x v="0"/>
    <n v="81"/>
    <n v="90"/>
    <s v="High"/>
    <x v="0"/>
    <s v="OK"/>
    <s v="Pass"/>
  </r>
  <r>
    <n v="40"/>
    <s v="Naveen"/>
    <x v="1"/>
    <n v="76"/>
    <n v="87"/>
    <s v="High"/>
    <x v="0"/>
    <s v="OK"/>
    <s v="Pass"/>
  </r>
  <r>
    <n v="41"/>
    <s v="Rohan"/>
    <x v="1"/>
    <n v="66"/>
    <n v="72"/>
    <s v="Average"/>
    <x v="0"/>
    <s v="OK"/>
    <s v="Pass"/>
  </r>
  <r>
    <n v="42"/>
    <s v="Ravi"/>
    <x v="2"/>
    <n v="35"/>
    <n v="92"/>
    <s v="Low"/>
    <x v="1"/>
    <s v="OK"/>
    <s v="Fail"/>
  </r>
  <r>
    <n v="43"/>
    <s v="Ravi"/>
    <x v="2"/>
    <n v="62"/>
    <n v="94"/>
    <s v="Average"/>
    <x v="0"/>
    <s v="OK"/>
    <s v="Pass"/>
  </r>
  <r>
    <n v="44"/>
    <s v="Mohit"/>
    <x v="1"/>
    <n v="78"/>
    <n v="91"/>
    <s v="High"/>
    <x v="0"/>
    <s v="OK"/>
    <s v="Pass"/>
  </r>
  <r>
    <n v="45"/>
    <s v="Rohan"/>
    <x v="0"/>
    <n v="57"/>
    <n v="55"/>
    <s v="Low"/>
    <x v="1"/>
    <s v="Attendance Issue"/>
    <s v="Pass"/>
  </r>
  <r>
    <n v="46"/>
    <s v="Rakesh"/>
    <x v="1"/>
    <n v="41"/>
    <n v="76"/>
    <s v="Low"/>
    <x v="1"/>
    <s v="OK"/>
    <s v="Pass"/>
  </r>
  <r>
    <n v="47"/>
    <s v="Pallavi"/>
    <x v="1"/>
    <n v="56"/>
    <n v="58"/>
    <s v="Low"/>
    <x v="1"/>
    <s v="Attendance Issue"/>
    <s v="Pass"/>
  </r>
  <r>
    <n v="48"/>
    <s v="Sneha"/>
    <x v="2"/>
    <n v="89"/>
    <n v="88"/>
    <s v="High"/>
    <x v="0"/>
    <s v="OK"/>
    <s v="Pass"/>
  </r>
  <r>
    <n v="49"/>
    <s v="Isha"/>
    <x v="0"/>
    <n v="93"/>
    <n v="47"/>
    <s v="Low"/>
    <x v="1"/>
    <s v="Attendance Issue"/>
    <s v="Pass"/>
  </r>
  <r>
    <n v="50"/>
    <s v="Amit"/>
    <x v="0"/>
    <n v="73"/>
    <n v="76"/>
    <s v="High"/>
    <x v="0"/>
    <s v="OK"/>
    <s v="Pass"/>
  </r>
  <r>
    <n v="51"/>
    <s v="Kavya"/>
    <x v="0"/>
    <n v="58"/>
    <n v="92"/>
    <s v="Average"/>
    <x v="0"/>
    <s v="OK"/>
    <s v="Pass"/>
  </r>
  <r>
    <n v="52"/>
    <s v="Swati"/>
    <x v="2"/>
    <n v="56"/>
    <n v="94"/>
    <s v="Average"/>
    <x v="0"/>
    <s v="OK"/>
    <s v="Pass"/>
  </r>
  <r>
    <n v="53"/>
    <s v="Sonali"/>
    <x v="0"/>
    <n v="95"/>
    <n v="87"/>
    <s v="High"/>
    <x v="0"/>
    <s v="OK"/>
    <s v="Pass"/>
  </r>
  <r>
    <n v="54"/>
    <s v="Rakesh"/>
    <x v="0"/>
    <n v="85"/>
    <n v="68"/>
    <s v="High"/>
    <x v="0"/>
    <s v="OK"/>
    <s v="Pass"/>
  </r>
  <r>
    <n v="55"/>
    <s v="Kavya"/>
    <x v="1"/>
    <n v="45"/>
    <n v="95"/>
    <s v="Low"/>
    <x v="1"/>
    <s v="OK"/>
    <s v="Pass"/>
  </r>
  <r>
    <n v="56"/>
    <s v="Ayesha"/>
    <x v="2"/>
    <n v="68"/>
    <n v="79"/>
    <s v="Average"/>
    <x v="0"/>
    <s v="OK"/>
    <s v="Pass"/>
  </r>
  <r>
    <n v="57"/>
    <s v="Sonali"/>
    <x v="2"/>
    <n v="83"/>
    <n v="46"/>
    <s v="Low"/>
    <x v="1"/>
    <s v="Attendance Issue"/>
    <s v="Pass"/>
  </r>
  <r>
    <n v="58"/>
    <s v="Amit"/>
    <x v="2"/>
    <n v="75"/>
    <n v="93"/>
    <s v="High"/>
    <x v="0"/>
    <s v="OK"/>
    <s v="Pass"/>
  </r>
  <r>
    <n v="59"/>
    <s v="Aditya"/>
    <x v="2"/>
    <n v="63"/>
    <n v="48"/>
    <s v="Low"/>
    <x v="1"/>
    <s v="Attendance Issue"/>
    <s v="Pass"/>
  </r>
  <r>
    <n v="60"/>
    <s v="Tanvi"/>
    <x v="0"/>
    <n v="71"/>
    <n v="84"/>
    <s v="High"/>
    <x v="0"/>
    <s v="OK"/>
    <s v="Pass"/>
  </r>
  <r>
    <n v="61"/>
    <s v="Saurabh"/>
    <x v="2"/>
    <n v="38"/>
    <n v="61"/>
    <s v="Low"/>
    <x v="1"/>
    <s v="OK"/>
    <s v="Fail"/>
  </r>
  <r>
    <n v="62"/>
    <s v="Anjali"/>
    <x v="0"/>
    <n v="31"/>
    <n v="48"/>
    <s v="Low"/>
    <x v="1"/>
    <s v="Attendance Issue"/>
    <s v="Fail"/>
  </r>
  <r>
    <n v="63"/>
    <s v="Varun"/>
    <x v="1"/>
    <n v="40"/>
    <n v="74"/>
    <s v="Low"/>
    <x v="1"/>
    <s v="OK"/>
    <s v="Pass"/>
  </r>
  <r>
    <n v="64"/>
    <s v="Rituraj"/>
    <x v="0"/>
    <n v="42"/>
    <n v="75"/>
    <s v="Low"/>
    <x v="1"/>
    <s v="OK"/>
    <s v="Pass"/>
  </r>
  <r>
    <n v="65"/>
    <s v="Pranav"/>
    <x v="2"/>
    <n v="77"/>
    <n v="68"/>
    <s v="High"/>
    <x v="0"/>
    <s v="OK"/>
    <s v="Pass"/>
  </r>
  <r>
    <n v="66"/>
    <s v="Simran"/>
    <x v="2"/>
    <n v="52"/>
    <n v="48"/>
    <s v="Low"/>
    <x v="1"/>
    <s v="Attendance Issue"/>
    <s v="Pass"/>
  </r>
  <r>
    <n v="67"/>
    <s v="Rohit"/>
    <x v="2"/>
    <n v="73"/>
    <n v="72"/>
    <s v="High"/>
    <x v="0"/>
    <s v="OK"/>
    <s v="Pass"/>
  </r>
  <r>
    <n v="68"/>
    <s v="Manoj"/>
    <x v="0"/>
    <n v="79"/>
    <n v="67"/>
    <s v="High"/>
    <x v="0"/>
    <s v="OK"/>
    <s v="Pass"/>
  </r>
  <r>
    <n v="69"/>
    <s v="Mohit"/>
    <x v="0"/>
    <n v="38"/>
    <n v="83"/>
    <s v="Low"/>
    <x v="1"/>
    <s v="OK"/>
    <s v="Fail"/>
  </r>
  <r>
    <n v="70"/>
    <s v="Saurabh"/>
    <x v="1"/>
    <n v="44"/>
    <n v="45"/>
    <s v="Low"/>
    <x v="1"/>
    <s v="Attendance Issue"/>
    <s v="Pass"/>
  </r>
  <r>
    <n v="71"/>
    <s v="Swati"/>
    <x v="2"/>
    <n v="81"/>
    <n v="69"/>
    <s v="High"/>
    <x v="0"/>
    <s v="OK"/>
    <s v="Pass"/>
  </r>
  <r>
    <n v="72"/>
    <s v="Rohit"/>
    <x v="0"/>
    <n v="86"/>
    <n v="92"/>
    <s v="High"/>
    <x v="0"/>
    <s v="OK"/>
    <s v="Pass"/>
  </r>
  <r>
    <n v="73"/>
    <s v="Saurabh"/>
    <x v="1"/>
    <n v="95"/>
    <n v="45"/>
    <s v="Low"/>
    <x v="1"/>
    <s v="Attendance Issue"/>
    <s v="Pass"/>
  </r>
  <r>
    <n v="74"/>
    <s v="Bhavya"/>
    <x v="0"/>
    <n v="82"/>
    <n v="70"/>
    <s v="High"/>
    <x v="0"/>
    <s v="OK"/>
    <s v="Pass"/>
  </r>
  <r>
    <n v="75"/>
    <s v="Preeti"/>
    <x v="2"/>
    <n v="71"/>
    <n v="93"/>
    <s v="High"/>
    <x v="0"/>
    <s v="OK"/>
    <s v="Pass"/>
  </r>
  <r>
    <n v="76"/>
    <s v="Vikas"/>
    <x v="1"/>
    <n v="57"/>
    <n v="98"/>
    <s v="Average"/>
    <x v="0"/>
    <s v="OK"/>
    <s v="Pass"/>
  </r>
  <r>
    <n v="77"/>
    <s v="Yash"/>
    <x v="2"/>
    <n v="54"/>
    <n v="70"/>
    <s v="Average"/>
    <x v="0"/>
    <s v="OK"/>
    <s v="Pass"/>
  </r>
  <r>
    <n v="78"/>
    <s v="Riya"/>
    <x v="1"/>
    <n v="51"/>
    <n v="45"/>
    <s v="Low"/>
    <x v="1"/>
    <s v="Attendance Issue"/>
    <s v="Pass"/>
  </r>
  <r>
    <n v="79"/>
    <s v="Pallavi"/>
    <x v="1"/>
    <n v="55"/>
    <n v="79"/>
    <s v="Average"/>
    <x v="0"/>
    <s v="OK"/>
    <s v="Pass"/>
  </r>
  <r>
    <n v="80"/>
    <s v="Manoj"/>
    <x v="2"/>
    <n v="47"/>
    <n v="67"/>
    <s v="Low"/>
    <x v="1"/>
    <s v="OK"/>
    <s v="Pass"/>
  </r>
  <r>
    <n v="81"/>
    <s v="Naveen"/>
    <x v="2"/>
    <n v="66"/>
    <n v="70"/>
    <s v="Average"/>
    <x v="0"/>
    <s v="OK"/>
    <s v="Pass"/>
  </r>
  <r>
    <n v="82"/>
    <s v="Kavya"/>
    <x v="1"/>
    <n v="63"/>
    <n v="70"/>
    <s v="Average"/>
    <x v="0"/>
    <s v="OK"/>
    <s v="Pass"/>
  </r>
  <r>
    <n v="83"/>
    <s v="Yash"/>
    <x v="1"/>
    <n v="93"/>
    <n v="61"/>
    <s v="High"/>
    <x v="0"/>
    <s v="OK"/>
    <s v="Pass"/>
  </r>
  <r>
    <n v="84"/>
    <s v="Arjun"/>
    <x v="0"/>
    <n v="55"/>
    <n v="57"/>
    <s v="Low"/>
    <x v="1"/>
    <s v="Attendance Issue"/>
    <s v="Pass"/>
  </r>
  <r>
    <n v="85"/>
    <s v="Sneha"/>
    <x v="0"/>
    <n v="55"/>
    <n v="89"/>
    <s v="Average"/>
    <x v="0"/>
    <s v="OK"/>
    <s v="Pass"/>
  </r>
  <r>
    <n v="86"/>
    <s v="Aakash"/>
    <x v="1"/>
    <n v="31"/>
    <n v="93"/>
    <s v="Low"/>
    <x v="1"/>
    <s v="OK"/>
    <s v="Fail"/>
  </r>
  <r>
    <n v="87"/>
    <s v="Pallavi"/>
    <x v="2"/>
    <n v="62"/>
    <n v="63"/>
    <s v="Average"/>
    <x v="0"/>
    <s v="OK"/>
    <s v="Pass"/>
  </r>
  <r>
    <n v="88"/>
    <s v="Sneha"/>
    <x v="0"/>
    <n v="30"/>
    <n v="98"/>
    <s v="Low"/>
    <x v="1"/>
    <s v="OK"/>
    <s v="Fail"/>
  </r>
  <r>
    <n v="89"/>
    <s v="Ayesha"/>
    <x v="1"/>
    <n v="54"/>
    <n v="87"/>
    <s v="Average"/>
    <x v="0"/>
    <s v="OK"/>
    <s v="Pass"/>
  </r>
  <r>
    <n v="90"/>
    <s v="Isha"/>
    <x v="2"/>
    <n v="78"/>
    <n v="53"/>
    <s v="Low"/>
    <x v="1"/>
    <s v="Attendance Issue"/>
    <s v="Pass"/>
  </r>
  <r>
    <n v="91"/>
    <s v="Vikas"/>
    <x v="0"/>
    <n v="39"/>
    <n v="51"/>
    <s v="Low"/>
    <x v="1"/>
    <s v="Attendance Issue"/>
    <s v="Fail"/>
  </r>
  <r>
    <n v="92"/>
    <s v="Harsh"/>
    <x v="2"/>
    <n v="59"/>
    <n v="95"/>
    <s v="Average"/>
    <x v="0"/>
    <s v="OK"/>
    <s v="Pass"/>
  </r>
  <r>
    <n v="93"/>
    <s v="Payal"/>
    <x v="1"/>
    <n v="55"/>
    <n v="48"/>
    <s v="Low"/>
    <x v="1"/>
    <s v="Attendance Issue"/>
    <s v="Pass"/>
  </r>
  <r>
    <n v="94"/>
    <s v="Anjali"/>
    <x v="1"/>
    <n v="76"/>
    <n v="98"/>
    <s v="High"/>
    <x v="0"/>
    <s v="OK"/>
    <s v="Pass"/>
  </r>
  <r>
    <n v="95"/>
    <s v="Simran"/>
    <x v="2"/>
    <n v="91"/>
    <n v="80"/>
    <s v="High"/>
    <x v="0"/>
    <s v="OK"/>
    <s v="Pass"/>
  </r>
  <r>
    <n v="96"/>
    <s v="Vikas"/>
    <x v="1"/>
    <n v="76"/>
    <n v="54"/>
    <s v="Low"/>
    <x v="1"/>
    <s v="Attendance Issue"/>
    <s v="Pass"/>
  </r>
  <r>
    <n v="97"/>
    <s v="Kavya"/>
    <x v="2"/>
    <n v="55"/>
    <n v="67"/>
    <s v="Average"/>
    <x v="0"/>
    <s v="OK"/>
    <s v="Pass"/>
  </r>
  <r>
    <n v="98"/>
    <s v="Rahul"/>
    <x v="2"/>
    <n v="85"/>
    <n v="48"/>
    <s v="Low"/>
    <x v="1"/>
    <s v="Attendance Issue"/>
    <s v="Pass"/>
  </r>
  <r>
    <n v="99"/>
    <s v="Saurabh"/>
    <x v="1"/>
    <n v="95"/>
    <n v="68"/>
    <s v="High"/>
    <x v="0"/>
    <s v="OK"/>
    <s v="Pass"/>
  </r>
  <r>
    <n v="100"/>
    <s v="Rahul"/>
    <x v="2"/>
    <n v="38"/>
    <n v="53"/>
    <s v="Low"/>
    <x v="1"/>
    <s v="Attendance Issue"/>
    <s v="Fail"/>
  </r>
  <r>
    <m/>
    <m/>
    <x v="3"/>
    <m/>
    <m/>
    <m/>
    <x v="2"/>
    <m/>
    <s v="Fai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3C30F4-531F-40B3-835A-0788F69A01B2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9"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Grade" fld="3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9EF3E9-DEBC-4D7E-A1E0-6108A567BFE6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tudent_ID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21626-D364-4E80-A453-F65BB19DB852}">
  <dimension ref="A1:K102"/>
  <sheetViews>
    <sheetView topLeftCell="F1" workbookViewId="0">
      <selection activeCell="A2" sqref="A2"/>
    </sheetView>
  </sheetViews>
  <sheetFormatPr defaultRowHeight="14.6" x14ac:dyDescent="0.4"/>
  <cols>
    <col min="1" max="1" width="9.69140625" bestFit="1" customWidth="1"/>
    <col min="2" max="2" width="7.53515625" bestFit="1" customWidth="1"/>
    <col min="3" max="3" width="7.23046875" bestFit="1" customWidth="1"/>
    <col min="4" max="4" width="5.765625" bestFit="1" customWidth="1"/>
    <col min="5" max="5" width="12.4609375" bestFit="1" customWidth="1"/>
    <col min="6" max="6" width="17.23046875" bestFit="1" customWidth="1"/>
    <col min="7" max="7" width="6.765625" bestFit="1" customWidth="1"/>
    <col min="8" max="8" width="14.84375" bestFit="1" customWidth="1"/>
    <col min="10" max="10" width="17.07421875" bestFit="1" customWidth="1"/>
  </cols>
  <sheetData>
    <row r="1" spans="1:11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61</v>
      </c>
    </row>
    <row r="2" spans="1:11" x14ac:dyDescent="0.4">
      <c r="A2">
        <v>1</v>
      </c>
      <c r="B2" t="s">
        <v>8</v>
      </c>
      <c r="C2" t="s">
        <v>9</v>
      </c>
      <c r="D2">
        <v>63</v>
      </c>
      <c r="E2">
        <v>92</v>
      </c>
      <c r="F2" t="s">
        <v>10</v>
      </c>
      <c r="G2" t="s">
        <v>11</v>
      </c>
      <c r="H2" t="s">
        <v>12</v>
      </c>
      <c r="I2" t="str">
        <f>IF(D2&gt;=40,"Pass","Fail")</f>
        <v>Pass</v>
      </c>
      <c r="J2" t="s">
        <v>63</v>
      </c>
      <c r="K2">
        <f>AVERAGE(D2:D101)</f>
        <v>62.31</v>
      </c>
    </row>
    <row r="3" spans="1:11" x14ac:dyDescent="0.4">
      <c r="A3">
        <v>2</v>
      </c>
      <c r="B3" t="s">
        <v>13</v>
      </c>
      <c r="C3" t="s">
        <v>14</v>
      </c>
      <c r="D3">
        <v>93</v>
      </c>
      <c r="E3">
        <v>86</v>
      </c>
      <c r="F3" t="s">
        <v>15</v>
      </c>
      <c r="G3" t="s">
        <v>11</v>
      </c>
      <c r="H3" t="s">
        <v>12</v>
      </c>
      <c r="I3" t="str">
        <f>IF(D3&gt;=40,"Pass","Fail")</f>
        <v>Pass</v>
      </c>
      <c r="J3" t="s">
        <v>64</v>
      </c>
      <c r="K3">
        <f>COUNT(A2:A101)</f>
        <v>100</v>
      </c>
    </row>
    <row r="4" spans="1:11" x14ac:dyDescent="0.4">
      <c r="A4">
        <v>3</v>
      </c>
      <c r="B4" t="s">
        <v>16</v>
      </c>
      <c r="C4" t="s">
        <v>17</v>
      </c>
      <c r="D4">
        <v>33</v>
      </c>
      <c r="E4">
        <v>60</v>
      </c>
      <c r="F4" t="s">
        <v>18</v>
      </c>
      <c r="G4" t="s">
        <v>19</v>
      </c>
      <c r="H4" t="s">
        <v>12</v>
      </c>
      <c r="I4" t="str">
        <f>IF(D4&gt;=40,"Pass","Fail")</f>
        <v>Fail</v>
      </c>
      <c r="J4" t="s">
        <v>65</v>
      </c>
      <c r="K4">
        <f>MAX(D2:D101)</f>
        <v>95</v>
      </c>
    </row>
    <row r="5" spans="1:11" x14ac:dyDescent="0.4">
      <c r="A5">
        <v>4</v>
      </c>
      <c r="B5" t="s">
        <v>20</v>
      </c>
      <c r="C5" t="s">
        <v>9</v>
      </c>
      <c r="D5">
        <v>94</v>
      </c>
      <c r="E5">
        <v>57</v>
      </c>
      <c r="F5" t="s">
        <v>18</v>
      </c>
      <c r="G5" t="s">
        <v>19</v>
      </c>
      <c r="H5" t="s">
        <v>21</v>
      </c>
      <c r="I5" t="str">
        <f>IF(D5&gt;=40,"Pass","Fail")</f>
        <v>Pass</v>
      </c>
      <c r="J5" t="s">
        <v>66</v>
      </c>
      <c r="K5">
        <f>MIN(D2:D101)</f>
        <v>30</v>
      </c>
    </row>
    <row r="6" spans="1:11" x14ac:dyDescent="0.4">
      <c r="A6">
        <v>5</v>
      </c>
      <c r="B6" t="s">
        <v>22</v>
      </c>
      <c r="C6" t="s">
        <v>14</v>
      </c>
      <c r="D6">
        <v>60</v>
      </c>
      <c r="E6">
        <v>83</v>
      </c>
      <c r="F6" t="s">
        <v>10</v>
      </c>
      <c r="G6" t="s">
        <v>11</v>
      </c>
      <c r="H6" t="s">
        <v>12</v>
      </c>
      <c r="I6" t="str">
        <f>IF(D6&gt;=40,"Pass","Fail")</f>
        <v>Pass</v>
      </c>
      <c r="J6" t="s">
        <v>67</v>
      </c>
      <c r="K6">
        <f>COUNTIF(G2:G101,"Yes")</f>
        <v>50</v>
      </c>
    </row>
    <row r="7" spans="1:11" x14ac:dyDescent="0.4">
      <c r="A7">
        <v>6</v>
      </c>
      <c r="B7" t="s">
        <v>23</v>
      </c>
      <c r="C7" t="s">
        <v>14</v>
      </c>
      <c r="D7">
        <v>33</v>
      </c>
      <c r="E7">
        <v>78</v>
      </c>
      <c r="F7" t="s">
        <v>18</v>
      </c>
      <c r="G7" t="s">
        <v>19</v>
      </c>
      <c r="H7" t="s">
        <v>12</v>
      </c>
      <c r="I7" t="str">
        <f>IF(D7&gt;=40,"Pass","Fail")</f>
        <v>Fail</v>
      </c>
      <c r="J7" t="s">
        <v>68</v>
      </c>
      <c r="K7">
        <f>AVERAGE(E2:E101)</f>
        <v>71.8</v>
      </c>
    </row>
    <row r="8" spans="1:11" x14ac:dyDescent="0.4">
      <c r="A8">
        <v>7</v>
      </c>
      <c r="B8" t="s">
        <v>24</v>
      </c>
      <c r="C8" t="s">
        <v>9</v>
      </c>
      <c r="D8">
        <v>36</v>
      </c>
      <c r="E8">
        <v>61</v>
      </c>
      <c r="F8" t="s">
        <v>18</v>
      </c>
      <c r="G8" t="s">
        <v>19</v>
      </c>
      <c r="H8" t="s">
        <v>12</v>
      </c>
      <c r="I8" t="str">
        <f>IF(D8&gt;=40,"Pass","Fail")</f>
        <v>Fail</v>
      </c>
    </row>
    <row r="9" spans="1:11" x14ac:dyDescent="0.4">
      <c r="A9">
        <v>8</v>
      </c>
      <c r="B9" t="s">
        <v>25</v>
      </c>
      <c r="C9" t="s">
        <v>17</v>
      </c>
      <c r="D9">
        <v>55</v>
      </c>
      <c r="E9">
        <v>80</v>
      </c>
      <c r="F9" t="s">
        <v>10</v>
      </c>
      <c r="G9" t="s">
        <v>11</v>
      </c>
      <c r="H9" t="s">
        <v>12</v>
      </c>
      <c r="I9" t="str">
        <f>IF(D9&gt;=40,"Pass","Fail")</f>
        <v>Pass</v>
      </c>
    </row>
    <row r="10" spans="1:11" x14ac:dyDescent="0.4">
      <c r="A10">
        <v>9</v>
      </c>
      <c r="B10" t="s">
        <v>26</v>
      </c>
      <c r="C10" t="s">
        <v>17</v>
      </c>
      <c r="D10">
        <v>43</v>
      </c>
      <c r="E10">
        <v>75</v>
      </c>
      <c r="F10" t="s">
        <v>18</v>
      </c>
      <c r="G10" t="s">
        <v>19</v>
      </c>
      <c r="H10" t="s">
        <v>12</v>
      </c>
      <c r="I10" t="str">
        <f>IF(D10&gt;=40,"Pass","Fail")</f>
        <v>Pass</v>
      </c>
    </row>
    <row r="11" spans="1:11" x14ac:dyDescent="0.4">
      <c r="A11">
        <v>10</v>
      </c>
      <c r="B11" t="s">
        <v>27</v>
      </c>
      <c r="C11" t="s">
        <v>14</v>
      </c>
      <c r="D11">
        <v>52</v>
      </c>
      <c r="E11">
        <v>46</v>
      </c>
      <c r="F11" t="s">
        <v>18</v>
      </c>
      <c r="G11" t="s">
        <v>19</v>
      </c>
      <c r="H11" t="s">
        <v>21</v>
      </c>
      <c r="I11" t="str">
        <f>IF(D11&gt;=40,"Pass","Fail")</f>
        <v>Pass</v>
      </c>
    </row>
    <row r="12" spans="1:11" x14ac:dyDescent="0.4">
      <c r="A12">
        <v>11</v>
      </c>
      <c r="B12" t="s">
        <v>22</v>
      </c>
      <c r="C12" t="s">
        <v>17</v>
      </c>
      <c r="D12">
        <v>83</v>
      </c>
      <c r="E12">
        <v>98</v>
      </c>
      <c r="F12" t="s">
        <v>15</v>
      </c>
      <c r="G12" t="s">
        <v>11</v>
      </c>
      <c r="H12" t="s">
        <v>12</v>
      </c>
      <c r="I12" t="str">
        <f>IF(D12&gt;=40,"Pass","Fail")</f>
        <v>Pass</v>
      </c>
    </row>
    <row r="13" spans="1:11" x14ac:dyDescent="0.4">
      <c r="A13">
        <v>12</v>
      </c>
      <c r="B13" t="s">
        <v>28</v>
      </c>
      <c r="C13" t="s">
        <v>17</v>
      </c>
      <c r="D13">
        <v>85</v>
      </c>
      <c r="E13">
        <v>48</v>
      </c>
      <c r="F13" t="s">
        <v>18</v>
      </c>
      <c r="G13" t="s">
        <v>19</v>
      </c>
      <c r="H13" t="s">
        <v>21</v>
      </c>
      <c r="I13" t="str">
        <f>IF(D13&gt;=40,"Pass","Fail")</f>
        <v>Pass</v>
      </c>
    </row>
    <row r="14" spans="1:11" x14ac:dyDescent="0.4">
      <c r="A14">
        <v>13</v>
      </c>
      <c r="B14" t="s">
        <v>29</v>
      </c>
      <c r="C14" t="s">
        <v>14</v>
      </c>
      <c r="D14">
        <v>40</v>
      </c>
      <c r="E14">
        <v>58</v>
      </c>
      <c r="F14" t="s">
        <v>18</v>
      </c>
      <c r="G14" t="s">
        <v>19</v>
      </c>
      <c r="H14" t="s">
        <v>21</v>
      </c>
      <c r="I14" t="str">
        <f>IF(D14&gt;=40,"Pass","Fail")</f>
        <v>Pass</v>
      </c>
    </row>
    <row r="15" spans="1:11" x14ac:dyDescent="0.4">
      <c r="A15">
        <v>14</v>
      </c>
      <c r="B15" t="s">
        <v>30</v>
      </c>
      <c r="C15" t="s">
        <v>17</v>
      </c>
      <c r="D15">
        <v>60</v>
      </c>
      <c r="E15">
        <v>73</v>
      </c>
      <c r="F15" t="s">
        <v>10</v>
      </c>
      <c r="G15" t="s">
        <v>11</v>
      </c>
      <c r="H15" t="s">
        <v>12</v>
      </c>
      <c r="I15" t="str">
        <f>IF(D15&gt;=40,"Pass","Fail")</f>
        <v>Pass</v>
      </c>
    </row>
    <row r="16" spans="1:11" x14ac:dyDescent="0.4">
      <c r="A16">
        <v>15</v>
      </c>
      <c r="B16" t="s">
        <v>31</v>
      </c>
      <c r="C16" t="s">
        <v>9</v>
      </c>
      <c r="D16">
        <v>68</v>
      </c>
      <c r="E16">
        <v>65</v>
      </c>
      <c r="F16" t="s">
        <v>10</v>
      </c>
      <c r="G16" t="s">
        <v>11</v>
      </c>
      <c r="H16" t="s">
        <v>12</v>
      </c>
      <c r="I16" t="str">
        <f>IF(D16&gt;=40,"Pass","Fail")</f>
        <v>Pass</v>
      </c>
    </row>
    <row r="17" spans="1:9" x14ac:dyDescent="0.4">
      <c r="A17">
        <v>16</v>
      </c>
      <c r="B17" t="s">
        <v>32</v>
      </c>
      <c r="C17" t="s">
        <v>17</v>
      </c>
      <c r="D17">
        <v>79</v>
      </c>
      <c r="E17">
        <v>58</v>
      </c>
      <c r="F17" t="s">
        <v>18</v>
      </c>
      <c r="G17" t="s">
        <v>19</v>
      </c>
      <c r="H17" t="s">
        <v>21</v>
      </c>
      <c r="I17" t="str">
        <f>IF(D17&gt;=40,"Pass","Fail")</f>
        <v>Pass</v>
      </c>
    </row>
    <row r="18" spans="1:9" x14ac:dyDescent="0.4">
      <c r="A18">
        <v>17</v>
      </c>
      <c r="B18" t="s">
        <v>33</v>
      </c>
      <c r="C18" t="s">
        <v>17</v>
      </c>
      <c r="D18">
        <v>63</v>
      </c>
      <c r="E18">
        <v>57</v>
      </c>
      <c r="F18" t="s">
        <v>18</v>
      </c>
      <c r="G18" t="s">
        <v>19</v>
      </c>
      <c r="H18" t="s">
        <v>21</v>
      </c>
      <c r="I18" t="str">
        <f>IF(D18&gt;=40,"Pass","Fail")</f>
        <v>Pass</v>
      </c>
    </row>
    <row r="19" spans="1:9" x14ac:dyDescent="0.4">
      <c r="A19">
        <v>18</v>
      </c>
      <c r="B19" t="s">
        <v>34</v>
      </c>
      <c r="C19" t="s">
        <v>14</v>
      </c>
      <c r="D19">
        <v>37</v>
      </c>
      <c r="E19">
        <v>55</v>
      </c>
      <c r="F19" t="s">
        <v>18</v>
      </c>
      <c r="G19" t="s">
        <v>19</v>
      </c>
      <c r="H19" t="s">
        <v>21</v>
      </c>
      <c r="I19" t="str">
        <f>IF(D19&gt;=40,"Pass","Fail")</f>
        <v>Fail</v>
      </c>
    </row>
    <row r="20" spans="1:9" x14ac:dyDescent="0.4">
      <c r="A20">
        <v>19</v>
      </c>
      <c r="B20" t="s">
        <v>35</v>
      </c>
      <c r="C20" t="s">
        <v>17</v>
      </c>
      <c r="D20">
        <v>48</v>
      </c>
      <c r="E20">
        <v>83</v>
      </c>
      <c r="F20" t="s">
        <v>18</v>
      </c>
      <c r="G20" t="s">
        <v>19</v>
      </c>
      <c r="H20" t="s">
        <v>12</v>
      </c>
      <c r="I20" t="str">
        <f>IF(D20&gt;=40,"Pass","Fail")</f>
        <v>Pass</v>
      </c>
    </row>
    <row r="21" spans="1:9" x14ac:dyDescent="0.4">
      <c r="A21">
        <v>20</v>
      </c>
      <c r="B21" t="s">
        <v>36</v>
      </c>
      <c r="C21" t="s">
        <v>17</v>
      </c>
      <c r="D21">
        <v>38</v>
      </c>
      <c r="E21">
        <v>49</v>
      </c>
      <c r="F21" t="s">
        <v>18</v>
      </c>
      <c r="G21" t="s">
        <v>19</v>
      </c>
      <c r="H21" t="s">
        <v>21</v>
      </c>
      <c r="I21" t="str">
        <f>IF(D21&gt;=40,"Pass","Fail")</f>
        <v>Fail</v>
      </c>
    </row>
    <row r="22" spans="1:9" x14ac:dyDescent="0.4">
      <c r="A22">
        <v>21</v>
      </c>
      <c r="B22" t="s">
        <v>32</v>
      </c>
      <c r="C22" t="s">
        <v>9</v>
      </c>
      <c r="D22">
        <v>69</v>
      </c>
      <c r="E22">
        <v>95</v>
      </c>
      <c r="F22" t="s">
        <v>10</v>
      </c>
      <c r="G22" t="s">
        <v>11</v>
      </c>
      <c r="H22" t="s">
        <v>12</v>
      </c>
      <c r="I22" t="str">
        <f>IF(D22&gt;=40,"Pass","Fail")</f>
        <v>Pass</v>
      </c>
    </row>
    <row r="23" spans="1:9" x14ac:dyDescent="0.4">
      <c r="A23">
        <v>22</v>
      </c>
      <c r="B23" t="s">
        <v>16</v>
      </c>
      <c r="C23" t="s">
        <v>14</v>
      </c>
      <c r="D23">
        <v>55</v>
      </c>
      <c r="E23">
        <v>95</v>
      </c>
      <c r="F23" t="s">
        <v>10</v>
      </c>
      <c r="G23" t="s">
        <v>11</v>
      </c>
      <c r="H23" t="s">
        <v>12</v>
      </c>
      <c r="I23" t="str">
        <f>IF(D23&gt;=40,"Pass","Fail")</f>
        <v>Pass</v>
      </c>
    </row>
    <row r="24" spans="1:9" x14ac:dyDescent="0.4">
      <c r="A24">
        <v>23</v>
      </c>
      <c r="B24" t="s">
        <v>37</v>
      </c>
      <c r="C24" t="s">
        <v>17</v>
      </c>
      <c r="D24">
        <v>93</v>
      </c>
      <c r="E24">
        <v>48</v>
      </c>
      <c r="F24" t="s">
        <v>18</v>
      </c>
      <c r="G24" t="s">
        <v>19</v>
      </c>
      <c r="H24" t="s">
        <v>21</v>
      </c>
      <c r="I24" t="str">
        <f>IF(D24&gt;=40,"Pass","Fail")</f>
        <v>Pass</v>
      </c>
    </row>
    <row r="25" spans="1:9" x14ac:dyDescent="0.4">
      <c r="A25">
        <v>24</v>
      </c>
      <c r="B25" t="s">
        <v>38</v>
      </c>
      <c r="C25" t="s">
        <v>9</v>
      </c>
      <c r="D25">
        <v>95</v>
      </c>
      <c r="E25">
        <v>87</v>
      </c>
      <c r="F25" t="s">
        <v>15</v>
      </c>
      <c r="G25" t="s">
        <v>11</v>
      </c>
      <c r="H25" t="s">
        <v>12</v>
      </c>
      <c r="I25" t="str">
        <f>IF(D25&gt;=40,"Pass","Fail")</f>
        <v>Pass</v>
      </c>
    </row>
    <row r="26" spans="1:9" x14ac:dyDescent="0.4">
      <c r="A26">
        <v>25</v>
      </c>
      <c r="B26" t="s">
        <v>13</v>
      </c>
      <c r="C26" t="s">
        <v>9</v>
      </c>
      <c r="D26">
        <v>32</v>
      </c>
      <c r="E26">
        <v>59</v>
      </c>
      <c r="F26" t="s">
        <v>18</v>
      </c>
      <c r="G26" t="s">
        <v>19</v>
      </c>
      <c r="H26" t="s">
        <v>21</v>
      </c>
      <c r="I26" t="str">
        <f>IF(D26&gt;=40,"Pass","Fail")</f>
        <v>Fail</v>
      </c>
    </row>
    <row r="27" spans="1:9" x14ac:dyDescent="0.4">
      <c r="A27">
        <v>26</v>
      </c>
      <c r="B27" t="s">
        <v>39</v>
      </c>
      <c r="C27" t="s">
        <v>17</v>
      </c>
      <c r="D27">
        <v>30</v>
      </c>
      <c r="E27">
        <v>80</v>
      </c>
      <c r="F27" t="s">
        <v>18</v>
      </c>
      <c r="G27" t="s">
        <v>19</v>
      </c>
      <c r="H27" t="s">
        <v>12</v>
      </c>
      <c r="I27" t="str">
        <f>IF(D27&gt;=40,"Pass","Fail")</f>
        <v>Fail</v>
      </c>
    </row>
    <row r="28" spans="1:9" x14ac:dyDescent="0.4">
      <c r="A28">
        <v>27</v>
      </c>
      <c r="B28" t="s">
        <v>26</v>
      </c>
      <c r="C28" t="s">
        <v>17</v>
      </c>
      <c r="D28">
        <v>70</v>
      </c>
      <c r="E28">
        <v>51</v>
      </c>
      <c r="F28" t="s">
        <v>18</v>
      </c>
      <c r="G28" t="s">
        <v>19</v>
      </c>
      <c r="H28" t="s">
        <v>21</v>
      </c>
      <c r="I28" t="str">
        <f>IF(D28&gt;=40,"Pass","Fail")</f>
        <v>Pass</v>
      </c>
    </row>
    <row r="29" spans="1:9" x14ac:dyDescent="0.4">
      <c r="A29">
        <v>28</v>
      </c>
      <c r="B29" t="s">
        <v>40</v>
      </c>
      <c r="C29" t="s">
        <v>14</v>
      </c>
      <c r="D29">
        <v>58</v>
      </c>
      <c r="E29">
        <v>91</v>
      </c>
      <c r="F29" t="s">
        <v>10</v>
      </c>
      <c r="G29" t="s">
        <v>11</v>
      </c>
      <c r="H29" t="s">
        <v>12</v>
      </c>
      <c r="I29" t="str">
        <f>IF(D29&gt;=40,"Pass","Fail")</f>
        <v>Pass</v>
      </c>
    </row>
    <row r="30" spans="1:9" x14ac:dyDescent="0.4">
      <c r="A30">
        <v>29</v>
      </c>
      <c r="B30" t="s">
        <v>41</v>
      </c>
      <c r="C30" t="s">
        <v>9</v>
      </c>
      <c r="D30">
        <v>69</v>
      </c>
      <c r="E30">
        <v>55</v>
      </c>
      <c r="F30" t="s">
        <v>18</v>
      </c>
      <c r="G30" t="s">
        <v>19</v>
      </c>
      <c r="H30" t="s">
        <v>21</v>
      </c>
      <c r="I30" t="str">
        <f>IF(D30&gt;=40,"Pass","Fail")</f>
        <v>Pass</v>
      </c>
    </row>
    <row r="31" spans="1:9" x14ac:dyDescent="0.4">
      <c r="A31">
        <v>30</v>
      </c>
      <c r="B31" t="s">
        <v>42</v>
      </c>
      <c r="C31" t="s">
        <v>14</v>
      </c>
      <c r="D31">
        <v>82</v>
      </c>
      <c r="E31">
        <v>96</v>
      </c>
      <c r="F31" t="s">
        <v>15</v>
      </c>
      <c r="G31" t="s">
        <v>11</v>
      </c>
      <c r="H31" t="s">
        <v>12</v>
      </c>
      <c r="I31" t="str">
        <f>IF(D31&gt;=40,"Pass","Fail")</f>
        <v>Pass</v>
      </c>
    </row>
    <row r="32" spans="1:9" x14ac:dyDescent="0.4">
      <c r="A32">
        <v>31</v>
      </c>
      <c r="B32" t="s">
        <v>23</v>
      </c>
      <c r="C32" t="s">
        <v>14</v>
      </c>
      <c r="D32">
        <v>63</v>
      </c>
      <c r="E32">
        <v>67</v>
      </c>
      <c r="F32" t="s">
        <v>10</v>
      </c>
      <c r="G32" t="s">
        <v>11</v>
      </c>
      <c r="H32" t="s">
        <v>12</v>
      </c>
      <c r="I32" t="str">
        <f>IF(D32&gt;=40,"Pass","Fail")</f>
        <v>Pass</v>
      </c>
    </row>
    <row r="33" spans="1:9" x14ac:dyDescent="0.4">
      <c r="A33">
        <v>32</v>
      </c>
      <c r="B33" t="s">
        <v>25</v>
      </c>
      <c r="C33" t="s">
        <v>9</v>
      </c>
      <c r="D33">
        <v>30</v>
      </c>
      <c r="E33">
        <v>87</v>
      </c>
      <c r="F33" t="s">
        <v>18</v>
      </c>
      <c r="G33" t="s">
        <v>19</v>
      </c>
      <c r="H33" t="s">
        <v>12</v>
      </c>
      <c r="I33" t="str">
        <f>IF(D33&gt;=40,"Pass","Fail")</f>
        <v>Fail</v>
      </c>
    </row>
    <row r="34" spans="1:9" x14ac:dyDescent="0.4">
      <c r="A34">
        <v>33</v>
      </c>
      <c r="B34" t="s">
        <v>23</v>
      </c>
      <c r="C34" t="s">
        <v>14</v>
      </c>
      <c r="D34">
        <v>41</v>
      </c>
      <c r="E34">
        <v>62</v>
      </c>
      <c r="F34" t="s">
        <v>18</v>
      </c>
      <c r="G34" t="s">
        <v>19</v>
      </c>
      <c r="H34" t="s">
        <v>12</v>
      </c>
      <c r="I34" t="str">
        <f>IF(D34&gt;=40,"Pass","Fail")</f>
        <v>Pass</v>
      </c>
    </row>
    <row r="35" spans="1:9" x14ac:dyDescent="0.4">
      <c r="A35">
        <v>34</v>
      </c>
      <c r="B35" t="s">
        <v>13</v>
      </c>
      <c r="C35" t="s">
        <v>14</v>
      </c>
      <c r="D35">
        <v>48</v>
      </c>
      <c r="E35">
        <v>84</v>
      </c>
      <c r="F35" t="s">
        <v>18</v>
      </c>
      <c r="G35" t="s">
        <v>19</v>
      </c>
      <c r="H35" t="s">
        <v>12</v>
      </c>
      <c r="I35" t="str">
        <f>IF(D35&gt;=40,"Pass","Fail")</f>
        <v>Pass</v>
      </c>
    </row>
    <row r="36" spans="1:9" x14ac:dyDescent="0.4">
      <c r="A36">
        <v>35</v>
      </c>
      <c r="B36" t="s">
        <v>43</v>
      </c>
      <c r="C36" t="s">
        <v>17</v>
      </c>
      <c r="D36">
        <v>66</v>
      </c>
      <c r="E36">
        <v>51</v>
      </c>
      <c r="F36" t="s">
        <v>18</v>
      </c>
      <c r="G36" t="s">
        <v>19</v>
      </c>
      <c r="H36" t="s">
        <v>21</v>
      </c>
      <c r="I36" t="str">
        <f>IF(D36&gt;=40,"Pass","Fail")</f>
        <v>Pass</v>
      </c>
    </row>
    <row r="37" spans="1:9" x14ac:dyDescent="0.4">
      <c r="A37">
        <v>36</v>
      </c>
      <c r="B37" t="s">
        <v>44</v>
      </c>
      <c r="C37" t="s">
        <v>17</v>
      </c>
      <c r="D37">
        <v>90</v>
      </c>
      <c r="E37">
        <v>80</v>
      </c>
      <c r="F37" t="s">
        <v>15</v>
      </c>
      <c r="G37" t="s">
        <v>11</v>
      </c>
      <c r="H37" t="s">
        <v>12</v>
      </c>
      <c r="I37" t="str">
        <f>IF(D37&gt;=40,"Pass","Fail")</f>
        <v>Pass</v>
      </c>
    </row>
    <row r="38" spans="1:9" x14ac:dyDescent="0.4">
      <c r="A38">
        <v>37</v>
      </c>
      <c r="B38" t="s">
        <v>31</v>
      </c>
      <c r="C38" t="s">
        <v>14</v>
      </c>
      <c r="D38">
        <v>92</v>
      </c>
      <c r="E38">
        <v>67</v>
      </c>
      <c r="F38" t="s">
        <v>15</v>
      </c>
      <c r="G38" t="s">
        <v>11</v>
      </c>
      <c r="H38" t="s">
        <v>12</v>
      </c>
      <c r="I38" t="str">
        <f>IF(D38&gt;=40,"Pass","Fail")</f>
        <v>Pass</v>
      </c>
    </row>
    <row r="39" spans="1:9" x14ac:dyDescent="0.4">
      <c r="A39">
        <v>38</v>
      </c>
      <c r="B39" t="s">
        <v>45</v>
      </c>
      <c r="C39" t="s">
        <v>14</v>
      </c>
      <c r="D39">
        <v>30</v>
      </c>
      <c r="E39">
        <v>79</v>
      </c>
      <c r="F39" t="s">
        <v>18</v>
      </c>
      <c r="G39" t="s">
        <v>19</v>
      </c>
      <c r="H39" t="s">
        <v>12</v>
      </c>
      <c r="I39" t="str">
        <f>IF(D39&gt;=40,"Pass","Fail")</f>
        <v>Fail</v>
      </c>
    </row>
    <row r="40" spans="1:9" x14ac:dyDescent="0.4">
      <c r="A40">
        <v>39</v>
      </c>
      <c r="B40" t="s">
        <v>23</v>
      </c>
      <c r="C40" t="s">
        <v>9</v>
      </c>
      <c r="D40">
        <v>81</v>
      </c>
      <c r="E40">
        <v>90</v>
      </c>
      <c r="F40" t="s">
        <v>15</v>
      </c>
      <c r="G40" t="s">
        <v>11</v>
      </c>
      <c r="H40" t="s">
        <v>12</v>
      </c>
      <c r="I40" t="str">
        <f>IF(D40&gt;=40,"Pass","Fail")</f>
        <v>Pass</v>
      </c>
    </row>
    <row r="41" spans="1:9" x14ac:dyDescent="0.4">
      <c r="A41">
        <v>40</v>
      </c>
      <c r="B41" t="s">
        <v>46</v>
      </c>
      <c r="C41" t="s">
        <v>14</v>
      </c>
      <c r="D41">
        <v>76</v>
      </c>
      <c r="E41">
        <v>87</v>
      </c>
      <c r="F41" t="s">
        <v>15</v>
      </c>
      <c r="G41" t="s">
        <v>11</v>
      </c>
      <c r="H41" t="s">
        <v>12</v>
      </c>
      <c r="I41" t="str">
        <f>IF(D41&gt;=40,"Pass","Fail")</f>
        <v>Pass</v>
      </c>
    </row>
    <row r="42" spans="1:9" x14ac:dyDescent="0.4">
      <c r="A42">
        <v>41</v>
      </c>
      <c r="B42" t="s">
        <v>39</v>
      </c>
      <c r="C42" t="s">
        <v>14</v>
      </c>
      <c r="D42">
        <v>66</v>
      </c>
      <c r="E42">
        <v>72</v>
      </c>
      <c r="F42" t="s">
        <v>10</v>
      </c>
      <c r="G42" t="s">
        <v>11</v>
      </c>
      <c r="H42" t="s">
        <v>12</v>
      </c>
      <c r="I42" t="str">
        <f>IF(D42&gt;=40,"Pass","Fail")</f>
        <v>Pass</v>
      </c>
    </row>
    <row r="43" spans="1:9" x14ac:dyDescent="0.4">
      <c r="A43">
        <v>42</v>
      </c>
      <c r="B43" t="s">
        <v>20</v>
      </c>
      <c r="C43" t="s">
        <v>17</v>
      </c>
      <c r="D43">
        <v>35</v>
      </c>
      <c r="E43">
        <v>92</v>
      </c>
      <c r="F43" t="s">
        <v>18</v>
      </c>
      <c r="G43" t="s">
        <v>19</v>
      </c>
      <c r="H43" t="s">
        <v>12</v>
      </c>
      <c r="I43" t="str">
        <f>IF(D43&gt;=40,"Pass","Fail")</f>
        <v>Fail</v>
      </c>
    </row>
    <row r="44" spans="1:9" x14ac:dyDescent="0.4">
      <c r="A44">
        <v>43</v>
      </c>
      <c r="B44" t="s">
        <v>20</v>
      </c>
      <c r="C44" t="s">
        <v>17</v>
      </c>
      <c r="D44">
        <v>62</v>
      </c>
      <c r="E44">
        <v>94</v>
      </c>
      <c r="F44" t="s">
        <v>10</v>
      </c>
      <c r="G44" t="s">
        <v>11</v>
      </c>
      <c r="H44" t="s">
        <v>12</v>
      </c>
      <c r="I44" t="str">
        <f>IF(D44&gt;=40,"Pass","Fail")</f>
        <v>Pass</v>
      </c>
    </row>
    <row r="45" spans="1:9" x14ac:dyDescent="0.4">
      <c r="A45">
        <v>44</v>
      </c>
      <c r="B45" t="s">
        <v>40</v>
      </c>
      <c r="C45" t="s">
        <v>14</v>
      </c>
      <c r="D45">
        <v>78</v>
      </c>
      <c r="E45">
        <v>91</v>
      </c>
      <c r="F45" t="s">
        <v>15</v>
      </c>
      <c r="G45" t="s">
        <v>11</v>
      </c>
      <c r="H45" t="s">
        <v>12</v>
      </c>
      <c r="I45" t="str">
        <f>IF(D45&gt;=40,"Pass","Fail")</f>
        <v>Pass</v>
      </c>
    </row>
    <row r="46" spans="1:9" x14ac:dyDescent="0.4">
      <c r="A46">
        <v>45</v>
      </c>
      <c r="B46" t="s">
        <v>39</v>
      </c>
      <c r="C46" t="s">
        <v>9</v>
      </c>
      <c r="D46">
        <v>57</v>
      </c>
      <c r="E46">
        <v>55</v>
      </c>
      <c r="F46" t="s">
        <v>18</v>
      </c>
      <c r="G46" t="s">
        <v>19</v>
      </c>
      <c r="H46" t="s">
        <v>21</v>
      </c>
      <c r="I46" t="str">
        <f>IF(D46&gt;=40,"Pass","Fail")</f>
        <v>Pass</v>
      </c>
    </row>
    <row r="47" spans="1:9" x14ac:dyDescent="0.4">
      <c r="A47">
        <v>46</v>
      </c>
      <c r="B47" t="s">
        <v>27</v>
      </c>
      <c r="C47" t="s">
        <v>14</v>
      </c>
      <c r="D47">
        <v>41</v>
      </c>
      <c r="E47">
        <v>76</v>
      </c>
      <c r="F47" t="s">
        <v>18</v>
      </c>
      <c r="G47" t="s">
        <v>19</v>
      </c>
      <c r="H47" t="s">
        <v>12</v>
      </c>
      <c r="I47" t="str">
        <f>IF(D47&gt;=40,"Pass","Fail")</f>
        <v>Pass</v>
      </c>
    </row>
    <row r="48" spans="1:9" x14ac:dyDescent="0.4">
      <c r="A48">
        <v>47</v>
      </c>
      <c r="B48" t="s">
        <v>47</v>
      </c>
      <c r="C48" t="s">
        <v>14</v>
      </c>
      <c r="D48">
        <v>56</v>
      </c>
      <c r="E48">
        <v>58</v>
      </c>
      <c r="F48" t="s">
        <v>18</v>
      </c>
      <c r="G48" t="s">
        <v>19</v>
      </c>
      <c r="H48" t="s">
        <v>21</v>
      </c>
      <c r="I48" t="str">
        <f>IF(D48&gt;=40,"Pass","Fail")</f>
        <v>Pass</v>
      </c>
    </row>
    <row r="49" spans="1:9" x14ac:dyDescent="0.4">
      <c r="A49">
        <v>48</v>
      </c>
      <c r="B49" t="s">
        <v>13</v>
      </c>
      <c r="C49" t="s">
        <v>17</v>
      </c>
      <c r="D49">
        <v>89</v>
      </c>
      <c r="E49">
        <v>88</v>
      </c>
      <c r="F49" t="s">
        <v>15</v>
      </c>
      <c r="G49" t="s">
        <v>11</v>
      </c>
      <c r="H49" t="s">
        <v>12</v>
      </c>
      <c r="I49" t="str">
        <f>IF(D49&gt;=40,"Pass","Fail")</f>
        <v>Pass</v>
      </c>
    </row>
    <row r="50" spans="1:9" x14ac:dyDescent="0.4">
      <c r="A50">
        <v>49</v>
      </c>
      <c r="B50" t="s">
        <v>48</v>
      </c>
      <c r="C50" t="s">
        <v>9</v>
      </c>
      <c r="D50">
        <v>93</v>
      </c>
      <c r="E50">
        <v>47</v>
      </c>
      <c r="F50" t="s">
        <v>18</v>
      </c>
      <c r="G50" t="s">
        <v>19</v>
      </c>
      <c r="H50" t="s">
        <v>21</v>
      </c>
      <c r="I50" t="str">
        <f>IF(D50&gt;=40,"Pass","Fail")</f>
        <v>Pass</v>
      </c>
    </row>
    <row r="51" spans="1:9" x14ac:dyDescent="0.4">
      <c r="A51">
        <v>50</v>
      </c>
      <c r="B51" t="s">
        <v>49</v>
      </c>
      <c r="C51" t="s">
        <v>9</v>
      </c>
      <c r="D51">
        <v>73</v>
      </c>
      <c r="E51">
        <v>76</v>
      </c>
      <c r="F51" t="s">
        <v>15</v>
      </c>
      <c r="G51" t="s">
        <v>11</v>
      </c>
      <c r="H51" t="s">
        <v>12</v>
      </c>
      <c r="I51" t="str">
        <f>IF(D51&gt;=40,"Pass","Fail")</f>
        <v>Pass</v>
      </c>
    </row>
    <row r="52" spans="1:9" x14ac:dyDescent="0.4">
      <c r="A52">
        <v>51</v>
      </c>
      <c r="B52" t="s">
        <v>28</v>
      </c>
      <c r="C52" t="s">
        <v>9</v>
      </c>
      <c r="D52">
        <v>58</v>
      </c>
      <c r="E52">
        <v>92</v>
      </c>
      <c r="F52" t="s">
        <v>10</v>
      </c>
      <c r="G52" t="s">
        <v>11</v>
      </c>
      <c r="H52" t="s">
        <v>12</v>
      </c>
      <c r="I52" t="str">
        <f>IF(D52&gt;=40,"Pass","Fail")</f>
        <v>Pass</v>
      </c>
    </row>
    <row r="53" spans="1:9" x14ac:dyDescent="0.4">
      <c r="A53">
        <v>52</v>
      </c>
      <c r="B53" t="s">
        <v>25</v>
      </c>
      <c r="C53" t="s">
        <v>17</v>
      </c>
      <c r="D53">
        <v>56</v>
      </c>
      <c r="E53">
        <v>94</v>
      </c>
      <c r="F53" t="s">
        <v>10</v>
      </c>
      <c r="G53" t="s">
        <v>11</v>
      </c>
      <c r="H53" t="s">
        <v>12</v>
      </c>
      <c r="I53" t="str">
        <f>IF(D53&gt;=40,"Pass","Fail")</f>
        <v>Pass</v>
      </c>
    </row>
    <row r="54" spans="1:9" x14ac:dyDescent="0.4">
      <c r="A54">
        <v>53</v>
      </c>
      <c r="B54" t="s">
        <v>32</v>
      </c>
      <c r="C54" t="s">
        <v>9</v>
      </c>
      <c r="D54">
        <v>95</v>
      </c>
      <c r="E54">
        <v>87</v>
      </c>
      <c r="F54" t="s">
        <v>15</v>
      </c>
      <c r="G54" t="s">
        <v>11</v>
      </c>
      <c r="H54" t="s">
        <v>12</v>
      </c>
      <c r="I54" t="str">
        <f>IF(D54&gt;=40,"Pass","Fail")</f>
        <v>Pass</v>
      </c>
    </row>
    <row r="55" spans="1:9" x14ac:dyDescent="0.4">
      <c r="A55">
        <v>54</v>
      </c>
      <c r="B55" t="s">
        <v>27</v>
      </c>
      <c r="C55" t="s">
        <v>9</v>
      </c>
      <c r="D55">
        <v>85</v>
      </c>
      <c r="E55">
        <v>68</v>
      </c>
      <c r="F55" t="s">
        <v>15</v>
      </c>
      <c r="G55" t="s">
        <v>11</v>
      </c>
      <c r="H55" t="s">
        <v>12</v>
      </c>
      <c r="I55" t="str">
        <f>IF(D55&gt;=40,"Pass","Fail")</f>
        <v>Pass</v>
      </c>
    </row>
    <row r="56" spans="1:9" x14ac:dyDescent="0.4">
      <c r="A56">
        <v>55</v>
      </c>
      <c r="B56" t="s">
        <v>28</v>
      </c>
      <c r="C56" t="s">
        <v>14</v>
      </c>
      <c r="D56">
        <v>45</v>
      </c>
      <c r="E56">
        <v>95</v>
      </c>
      <c r="F56" t="s">
        <v>18</v>
      </c>
      <c r="G56" t="s">
        <v>19</v>
      </c>
      <c r="H56" t="s">
        <v>12</v>
      </c>
      <c r="I56" t="str">
        <f>IF(D56&gt;=40,"Pass","Fail")</f>
        <v>Pass</v>
      </c>
    </row>
    <row r="57" spans="1:9" x14ac:dyDescent="0.4">
      <c r="A57">
        <v>56</v>
      </c>
      <c r="B57" t="s">
        <v>42</v>
      </c>
      <c r="C57" t="s">
        <v>17</v>
      </c>
      <c r="D57">
        <v>68</v>
      </c>
      <c r="E57">
        <v>79</v>
      </c>
      <c r="F57" t="s">
        <v>10</v>
      </c>
      <c r="G57" t="s">
        <v>11</v>
      </c>
      <c r="H57" t="s">
        <v>12</v>
      </c>
      <c r="I57" t="str">
        <f>IF(D57&gt;=40,"Pass","Fail")</f>
        <v>Pass</v>
      </c>
    </row>
    <row r="58" spans="1:9" x14ac:dyDescent="0.4">
      <c r="A58">
        <v>57</v>
      </c>
      <c r="B58" t="s">
        <v>32</v>
      </c>
      <c r="C58" t="s">
        <v>17</v>
      </c>
      <c r="D58">
        <v>83</v>
      </c>
      <c r="E58">
        <v>46</v>
      </c>
      <c r="F58" t="s">
        <v>18</v>
      </c>
      <c r="G58" t="s">
        <v>19</v>
      </c>
      <c r="H58" t="s">
        <v>21</v>
      </c>
      <c r="I58" t="str">
        <f>IF(D58&gt;=40,"Pass","Fail")</f>
        <v>Pass</v>
      </c>
    </row>
    <row r="59" spans="1:9" x14ac:dyDescent="0.4">
      <c r="A59">
        <v>58</v>
      </c>
      <c r="B59" t="s">
        <v>49</v>
      </c>
      <c r="C59" t="s">
        <v>17</v>
      </c>
      <c r="D59">
        <v>75</v>
      </c>
      <c r="E59">
        <v>93</v>
      </c>
      <c r="F59" t="s">
        <v>15</v>
      </c>
      <c r="G59" t="s">
        <v>11</v>
      </c>
      <c r="H59" t="s">
        <v>12</v>
      </c>
      <c r="I59" t="str">
        <f>IF(D59&gt;=40,"Pass","Fail")</f>
        <v>Pass</v>
      </c>
    </row>
    <row r="60" spans="1:9" x14ac:dyDescent="0.4">
      <c r="A60">
        <v>59</v>
      </c>
      <c r="B60" t="s">
        <v>23</v>
      </c>
      <c r="C60" t="s">
        <v>17</v>
      </c>
      <c r="D60">
        <v>63</v>
      </c>
      <c r="E60">
        <v>48</v>
      </c>
      <c r="F60" t="s">
        <v>18</v>
      </c>
      <c r="G60" t="s">
        <v>19</v>
      </c>
      <c r="H60" t="s">
        <v>21</v>
      </c>
      <c r="I60" t="str">
        <f>IF(D60&gt;=40,"Pass","Fail")</f>
        <v>Pass</v>
      </c>
    </row>
    <row r="61" spans="1:9" x14ac:dyDescent="0.4">
      <c r="A61">
        <v>60</v>
      </c>
      <c r="B61" t="s">
        <v>50</v>
      </c>
      <c r="C61" t="s">
        <v>9</v>
      </c>
      <c r="D61">
        <v>71</v>
      </c>
      <c r="E61">
        <v>84</v>
      </c>
      <c r="F61" t="s">
        <v>15</v>
      </c>
      <c r="G61" t="s">
        <v>11</v>
      </c>
      <c r="H61" t="s">
        <v>12</v>
      </c>
      <c r="I61" t="str">
        <f>IF(D61&gt;=40,"Pass","Fail")</f>
        <v>Pass</v>
      </c>
    </row>
    <row r="62" spans="1:9" x14ac:dyDescent="0.4">
      <c r="A62">
        <v>61</v>
      </c>
      <c r="B62" t="s">
        <v>35</v>
      </c>
      <c r="C62" t="s">
        <v>17</v>
      </c>
      <c r="D62">
        <v>38</v>
      </c>
      <c r="E62">
        <v>61</v>
      </c>
      <c r="F62" t="s">
        <v>18</v>
      </c>
      <c r="G62" t="s">
        <v>19</v>
      </c>
      <c r="H62" t="s">
        <v>12</v>
      </c>
      <c r="I62" t="str">
        <f>IF(D62&gt;=40,"Pass","Fail")</f>
        <v>Fail</v>
      </c>
    </row>
    <row r="63" spans="1:9" x14ac:dyDescent="0.4">
      <c r="A63">
        <v>62</v>
      </c>
      <c r="B63" t="s">
        <v>51</v>
      </c>
      <c r="C63" t="s">
        <v>9</v>
      </c>
      <c r="D63">
        <v>31</v>
      </c>
      <c r="E63">
        <v>48</v>
      </c>
      <c r="F63" t="s">
        <v>18</v>
      </c>
      <c r="G63" t="s">
        <v>19</v>
      </c>
      <c r="H63" t="s">
        <v>21</v>
      </c>
      <c r="I63" t="str">
        <f>IF(D63&gt;=40,"Pass","Fail")</f>
        <v>Fail</v>
      </c>
    </row>
    <row r="64" spans="1:9" x14ac:dyDescent="0.4">
      <c r="A64">
        <v>63</v>
      </c>
      <c r="B64" t="s">
        <v>22</v>
      </c>
      <c r="C64" t="s">
        <v>14</v>
      </c>
      <c r="D64">
        <v>40</v>
      </c>
      <c r="E64">
        <v>74</v>
      </c>
      <c r="F64" t="s">
        <v>18</v>
      </c>
      <c r="G64" t="s">
        <v>19</v>
      </c>
      <c r="H64" t="s">
        <v>12</v>
      </c>
      <c r="I64" t="str">
        <f>IF(D64&gt;=40,"Pass","Fail")</f>
        <v>Pass</v>
      </c>
    </row>
    <row r="65" spans="1:9" x14ac:dyDescent="0.4">
      <c r="A65">
        <v>64</v>
      </c>
      <c r="B65" t="s">
        <v>26</v>
      </c>
      <c r="C65" t="s">
        <v>9</v>
      </c>
      <c r="D65">
        <v>42</v>
      </c>
      <c r="E65">
        <v>75</v>
      </c>
      <c r="F65" t="s">
        <v>18</v>
      </c>
      <c r="G65" t="s">
        <v>19</v>
      </c>
      <c r="H65" t="s">
        <v>12</v>
      </c>
      <c r="I65" t="str">
        <f>IF(D65&gt;=40,"Pass","Fail")</f>
        <v>Pass</v>
      </c>
    </row>
    <row r="66" spans="1:9" x14ac:dyDescent="0.4">
      <c r="A66">
        <v>65</v>
      </c>
      <c r="B66" t="s">
        <v>36</v>
      </c>
      <c r="C66" t="s">
        <v>17</v>
      </c>
      <c r="D66">
        <v>77</v>
      </c>
      <c r="E66">
        <v>68</v>
      </c>
      <c r="F66" t="s">
        <v>15</v>
      </c>
      <c r="G66" t="s">
        <v>11</v>
      </c>
      <c r="H66" t="s">
        <v>12</v>
      </c>
      <c r="I66" t="str">
        <f>IF(D66&gt;=40,"Pass","Fail")</f>
        <v>Pass</v>
      </c>
    </row>
    <row r="67" spans="1:9" x14ac:dyDescent="0.4">
      <c r="A67">
        <v>66</v>
      </c>
      <c r="B67" t="s">
        <v>52</v>
      </c>
      <c r="C67" t="s">
        <v>17</v>
      </c>
      <c r="D67">
        <v>52</v>
      </c>
      <c r="E67">
        <v>48</v>
      </c>
      <c r="F67" t="s">
        <v>18</v>
      </c>
      <c r="G67" t="s">
        <v>19</v>
      </c>
      <c r="H67" t="s">
        <v>21</v>
      </c>
      <c r="I67" t="str">
        <f>IF(D67&gt;=40,"Pass","Fail")</f>
        <v>Pass</v>
      </c>
    </row>
    <row r="68" spans="1:9" x14ac:dyDescent="0.4">
      <c r="A68">
        <v>67</v>
      </c>
      <c r="B68" t="s">
        <v>53</v>
      </c>
      <c r="C68" t="s">
        <v>17</v>
      </c>
      <c r="D68">
        <v>73</v>
      </c>
      <c r="E68">
        <v>72</v>
      </c>
      <c r="F68" t="s">
        <v>15</v>
      </c>
      <c r="G68" t="s">
        <v>11</v>
      </c>
      <c r="H68" t="s">
        <v>12</v>
      </c>
      <c r="I68" t="str">
        <f>IF(D68&gt;=40,"Pass","Fail")</f>
        <v>Pass</v>
      </c>
    </row>
    <row r="69" spans="1:9" x14ac:dyDescent="0.4">
      <c r="A69">
        <v>68</v>
      </c>
      <c r="B69" t="s">
        <v>44</v>
      </c>
      <c r="C69" t="s">
        <v>9</v>
      </c>
      <c r="D69">
        <v>79</v>
      </c>
      <c r="E69">
        <v>67</v>
      </c>
      <c r="F69" t="s">
        <v>15</v>
      </c>
      <c r="G69" t="s">
        <v>11</v>
      </c>
      <c r="H69" t="s">
        <v>12</v>
      </c>
      <c r="I69" t="str">
        <f>IF(D69&gt;=40,"Pass","Fail")</f>
        <v>Pass</v>
      </c>
    </row>
    <row r="70" spans="1:9" x14ac:dyDescent="0.4">
      <c r="A70">
        <v>69</v>
      </c>
      <c r="B70" t="s">
        <v>40</v>
      </c>
      <c r="C70" t="s">
        <v>9</v>
      </c>
      <c r="D70">
        <v>38</v>
      </c>
      <c r="E70">
        <v>83</v>
      </c>
      <c r="F70" t="s">
        <v>18</v>
      </c>
      <c r="G70" t="s">
        <v>19</v>
      </c>
      <c r="H70" t="s">
        <v>12</v>
      </c>
      <c r="I70" t="str">
        <f>IF(D70&gt;=40,"Pass","Fail")</f>
        <v>Fail</v>
      </c>
    </row>
    <row r="71" spans="1:9" x14ac:dyDescent="0.4">
      <c r="A71">
        <v>70</v>
      </c>
      <c r="B71" t="s">
        <v>35</v>
      </c>
      <c r="C71" t="s">
        <v>14</v>
      </c>
      <c r="D71">
        <v>44</v>
      </c>
      <c r="E71">
        <v>45</v>
      </c>
      <c r="F71" t="s">
        <v>18</v>
      </c>
      <c r="G71" t="s">
        <v>19</v>
      </c>
      <c r="H71" t="s">
        <v>21</v>
      </c>
      <c r="I71" t="str">
        <f>IF(D71&gt;=40,"Pass","Fail")</f>
        <v>Pass</v>
      </c>
    </row>
    <row r="72" spans="1:9" x14ac:dyDescent="0.4">
      <c r="A72">
        <v>71</v>
      </c>
      <c r="B72" t="s">
        <v>25</v>
      </c>
      <c r="C72" t="s">
        <v>17</v>
      </c>
      <c r="D72">
        <v>81</v>
      </c>
      <c r="E72">
        <v>69</v>
      </c>
      <c r="F72" t="s">
        <v>15</v>
      </c>
      <c r="G72" t="s">
        <v>11</v>
      </c>
      <c r="H72" t="s">
        <v>12</v>
      </c>
      <c r="I72" t="str">
        <f>IF(D72&gt;=40,"Pass","Fail")</f>
        <v>Pass</v>
      </c>
    </row>
    <row r="73" spans="1:9" x14ac:dyDescent="0.4">
      <c r="A73">
        <v>72</v>
      </c>
      <c r="B73" t="s">
        <v>53</v>
      </c>
      <c r="C73" t="s">
        <v>9</v>
      </c>
      <c r="D73">
        <v>86</v>
      </c>
      <c r="E73">
        <v>92</v>
      </c>
      <c r="F73" t="s">
        <v>15</v>
      </c>
      <c r="G73" t="s">
        <v>11</v>
      </c>
      <c r="H73" t="s">
        <v>12</v>
      </c>
      <c r="I73" t="str">
        <f>IF(D73&gt;=40,"Pass","Fail")</f>
        <v>Pass</v>
      </c>
    </row>
    <row r="74" spans="1:9" x14ac:dyDescent="0.4">
      <c r="A74">
        <v>73</v>
      </c>
      <c r="B74" t="s">
        <v>35</v>
      </c>
      <c r="C74" t="s">
        <v>14</v>
      </c>
      <c r="D74">
        <v>95</v>
      </c>
      <c r="E74">
        <v>45</v>
      </c>
      <c r="F74" t="s">
        <v>18</v>
      </c>
      <c r="G74" t="s">
        <v>19</v>
      </c>
      <c r="H74" t="s">
        <v>21</v>
      </c>
      <c r="I74" t="str">
        <f>IF(D74&gt;=40,"Pass","Fail")</f>
        <v>Pass</v>
      </c>
    </row>
    <row r="75" spans="1:9" x14ac:dyDescent="0.4">
      <c r="A75">
        <v>74</v>
      </c>
      <c r="B75" t="s">
        <v>54</v>
      </c>
      <c r="C75" t="s">
        <v>9</v>
      </c>
      <c r="D75">
        <v>82</v>
      </c>
      <c r="E75">
        <v>70</v>
      </c>
      <c r="F75" t="s">
        <v>15</v>
      </c>
      <c r="G75" t="s">
        <v>11</v>
      </c>
      <c r="H75" t="s">
        <v>12</v>
      </c>
      <c r="I75" t="str">
        <f>IF(D75&gt;=40,"Pass","Fail")</f>
        <v>Pass</v>
      </c>
    </row>
    <row r="76" spans="1:9" x14ac:dyDescent="0.4">
      <c r="A76">
        <v>75</v>
      </c>
      <c r="B76" t="s">
        <v>43</v>
      </c>
      <c r="C76" t="s">
        <v>17</v>
      </c>
      <c r="D76">
        <v>71</v>
      </c>
      <c r="E76">
        <v>93</v>
      </c>
      <c r="F76" t="s">
        <v>15</v>
      </c>
      <c r="G76" t="s">
        <v>11</v>
      </c>
      <c r="H76" t="s">
        <v>12</v>
      </c>
      <c r="I76" t="str">
        <f>IF(D76&gt;=40,"Pass","Fail")</f>
        <v>Pass</v>
      </c>
    </row>
    <row r="77" spans="1:9" x14ac:dyDescent="0.4">
      <c r="A77">
        <v>76</v>
      </c>
      <c r="B77" t="s">
        <v>8</v>
      </c>
      <c r="C77" t="s">
        <v>14</v>
      </c>
      <c r="D77">
        <v>57</v>
      </c>
      <c r="E77">
        <v>98</v>
      </c>
      <c r="F77" t="s">
        <v>10</v>
      </c>
      <c r="G77" t="s">
        <v>11</v>
      </c>
      <c r="H77" t="s">
        <v>12</v>
      </c>
      <c r="I77" t="str">
        <f>IF(D77&gt;=40,"Pass","Fail")</f>
        <v>Pass</v>
      </c>
    </row>
    <row r="78" spans="1:9" x14ac:dyDescent="0.4">
      <c r="A78">
        <v>77</v>
      </c>
      <c r="B78" t="s">
        <v>55</v>
      </c>
      <c r="C78" t="s">
        <v>17</v>
      </c>
      <c r="D78">
        <v>54</v>
      </c>
      <c r="E78">
        <v>70</v>
      </c>
      <c r="F78" t="s">
        <v>10</v>
      </c>
      <c r="G78" t="s">
        <v>11</v>
      </c>
      <c r="H78" t="s">
        <v>12</v>
      </c>
      <c r="I78" t="str">
        <f>IF(D78&gt;=40,"Pass","Fail")</f>
        <v>Pass</v>
      </c>
    </row>
    <row r="79" spans="1:9" x14ac:dyDescent="0.4">
      <c r="A79">
        <v>78</v>
      </c>
      <c r="B79" t="s">
        <v>56</v>
      </c>
      <c r="C79" t="s">
        <v>14</v>
      </c>
      <c r="D79">
        <v>51</v>
      </c>
      <c r="E79">
        <v>45</v>
      </c>
      <c r="F79" t="s">
        <v>18</v>
      </c>
      <c r="G79" t="s">
        <v>19</v>
      </c>
      <c r="H79" t="s">
        <v>21</v>
      </c>
      <c r="I79" t="str">
        <f>IF(D79&gt;=40,"Pass","Fail")</f>
        <v>Pass</v>
      </c>
    </row>
    <row r="80" spans="1:9" x14ac:dyDescent="0.4">
      <c r="A80">
        <v>79</v>
      </c>
      <c r="B80" t="s">
        <v>47</v>
      </c>
      <c r="C80" t="s">
        <v>14</v>
      </c>
      <c r="D80">
        <v>55</v>
      </c>
      <c r="E80">
        <v>79</v>
      </c>
      <c r="F80" t="s">
        <v>10</v>
      </c>
      <c r="G80" t="s">
        <v>11</v>
      </c>
      <c r="H80" t="s">
        <v>12</v>
      </c>
      <c r="I80" t="str">
        <f>IF(D80&gt;=40,"Pass","Fail")</f>
        <v>Pass</v>
      </c>
    </row>
    <row r="81" spans="1:9" x14ac:dyDescent="0.4">
      <c r="A81">
        <v>80</v>
      </c>
      <c r="B81" t="s">
        <v>44</v>
      </c>
      <c r="C81" t="s">
        <v>17</v>
      </c>
      <c r="D81">
        <v>47</v>
      </c>
      <c r="E81">
        <v>67</v>
      </c>
      <c r="F81" t="s">
        <v>18</v>
      </c>
      <c r="G81" t="s">
        <v>19</v>
      </c>
      <c r="H81" t="s">
        <v>12</v>
      </c>
      <c r="I81" t="str">
        <f>IF(D81&gt;=40,"Pass","Fail")</f>
        <v>Pass</v>
      </c>
    </row>
    <row r="82" spans="1:9" x14ac:dyDescent="0.4">
      <c r="A82">
        <v>81</v>
      </c>
      <c r="B82" t="s">
        <v>46</v>
      </c>
      <c r="C82" t="s">
        <v>17</v>
      </c>
      <c r="D82">
        <v>66</v>
      </c>
      <c r="E82">
        <v>70</v>
      </c>
      <c r="F82" t="s">
        <v>10</v>
      </c>
      <c r="G82" t="s">
        <v>11</v>
      </c>
      <c r="H82" t="s">
        <v>12</v>
      </c>
      <c r="I82" t="str">
        <f>IF(D82&gt;=40,"Pass","Fail")</f>
        <v>Pass</v>
      </c>
    </row>
    <row r="83" spans="1:9" x14ac:dyDescent="0.4">
      <c r="A83">
        <v>82</v>
      </c>
      <c r="B83" t="s">
        <v>28</v>
      </c>
      <c r="C83" t="s">
        <v>14</v>
      </c>
      <c r="D83">
        <v>63</v>
      </c>
      <c r="E83">
        <v>70</v>
      </c>
      <c r="F83" t="s">
        <v>10</v>
      </c>
      <c r="G83" t="s">
        <v>11</v>
      </c>
      <c r="H83" t="s">
        <v>12</v>
      </c>
      <c r="I83" t="str">
        <f>IF(D83&gt;=40,"Pass","Fail")</f>
        <v>Pass</v>
      </c>
    </row>
    <row r="84" spans="1:9" x14ac:dyDescent="0.4">
      <c r="A84">
        <v>83</v>
      </c>
      <c r="B84" t="s">
        <v>55</v>
      </c>
      <c r="C84" t="s">
        <v>14</v>
      </c>
      <c r="D84">
        <v>93</v>
      </c>
      <c r="E84">
        <v>61</v>
      </c>
      <c r="F84" t="s">
        <v>15</v>
      </c>
      <c r="G84" t="s">
        <v>11</v>
      </c>
      <c r="H84" t="s">
        <v>12</v>
      </c>
      <c r="I84" t="str">
        <f>IF(D84&gt;=40,"Pass","Fail")</f>
        <v>Pass</v>
      </c>
    </row>
    <row r="85" spans="1:9" x14ac:dyDescent="0.4">
      <c r="A85">
        <v>84</v>
      </c>
      <c r="B85" t="s">
        <v>57</v>
      </c>
      <c r="C85" t="s">
        <v>9</v>
      </c>
      <c r="D85">
        <v>55</v>
      </c>
      <c r="E85">
        <v>57</v>
      </c>
      <c r="F85" t="s">
        <v>18</v>
      </c>
      <c r="G85" t="s">
        <v>19</v>
      </c>
      <c r="H85" t="s">
        <v>21</v>
      </c>
      <c r="I85" t="str">
        <f>IF(D85&gt;=40,"Pass","Fail")</f>
        <v>Pass</v>
      </c>
    </row>
    <row r="86" spans="1:9" x14ac:dyDescent="0.4">
      <c r="A86">
        <v>85</v>
      </c>
      <c r="B86" t="s">
        <v>13</v>
      </c>
      <c r="C86" t="s">
        <v>9</v>
      </c>
      <c r="D86">
        <v>55</v>
      </c>
      <c r="E86">
        <v>89</v>
      </c>
      <c r="F86" t="s">
        <v>10</v>
      </c>
      <c r="G86" t="s">
        <v>11</v>
      </c>
      <c r="H86" t="s">
        <v>12</v>
      </c>
      <c r="I86" t="str">
        <f>IF(D86&gt;=40,"Pass","Fail")</f>
        <v>Pass</v>
      </c>
    </row>
    <row r="87" spans="1:9" x14ac:dyDescent="0.4">
      <c r="A87">
        <v>86</v>
      </c>
      <c r="B87" t="s">
        <v>58</v>
      </c>
      <c r="C87" t="s">
        <v>14</v>
      </c>
      <c r="D87">
        <v>31</v>
      </c>
      <c r="E87">
        <v>93</v>
      </c>
      <c r="F87" t="s">
        <v>18</v>
      </c>
      <c r="G87" t="s">
        <v>19</v>
      </c>
      <c r="H87" t="s">
        <v>12</v>
      </c>
      <c r="I87" t="str">
        <f>IF(D87&gt;=40,"Pass","Fail")</f>
        <v>Fail</v>
      </c>
    </row>
    <row r="88" spans="1:9" x14ac:dyDescent="0.4">
      <c r="A88">
        <v>87</v>
      </c>
      <c r="B88" t="s">
        <v>47</v>
      </c>
      <c r="C88" t="s">
        <v>17</v>
      </c>
      <c r="D88">
        <v>62</v>
      </c>
      <c r="E88">
        <v>63</v>
      </c>
      <c r="F88" t="s">
        <v>10</v>
      </c>
      <c r="G88" t="s">
        <v>11</v>
      </c>
      <c r="H88" t="s">
        <v>12</v>
      </c>
      <c r="I88" t="str">
        <f>IF(D88&gt;=40,"Pass","Fail")</f>
        <v>Pass</v>
      </c>
    </row>
    <row r="89" spans="1:9" x14ac:dyDescent="0.4">
      <c r="A89">
        <v>88</v>
      </c>
      <c r="B89" t="s">
        <v>13</v>
      </c>
      <c r="C89" t="s">
        <v>9</v>
      </c>
      <c r="D89">
        <v>30</v>
      </c>
      <c r="E89">
        <v>98</v>
      </c>
      <c r="F89" t="s">
        <v>18</v>
      </c>
      <c r="G89" t="s">
        <v>19</v>
      </c>
      <c r="H89" t="s">
        <v>12</v>
      </c>
      <c r="I89" t="str">
        <f>IF(D89&gt;=40,"Pass","Fail")</f>
        <v>Fail</v>
      </c>
    </row>
    <row r="90" spans="1:9" x14ac:dyDescent="0.4">
      <c r="A90">
        <v>89</v>
      </c>
      <c r="B90" t="s">
        <v>42</v>
      </c>
      <c r="C90" t="s">
        <v>14</v>
      </c>
      <c r="D90">
        <v>54</v>
      </c>
      <c r="E90">
        <v>87</v>
      </c>
      <c r="F90" t="s">
        <v>10</v>
      </c>
      <c r="G90" t="s">
        <v>11</v>
      </c>
      <c r="H90" t="s">
        <v>12</v>
      </c>
      <c r="I90" t="str">
        <f>IF(D90&gt;=40,"Pass","Fail")</f>
        <v>Pass</v>
      </c>
    </row>
    <row r="91" spans="1:9" x14ac:dyDescent="0.4">
      <c r="A91">
        <v>90</v>
      </c>
      <c r="B91" t="s">
        <v>48</v>
      </c>
      <c r="C91" t="s">
        <v>17</v>
      </c>
      <c r="D91">
        <v>78</v>
      </c>
      <c r="E91">
        <v>53</v>
      </c>
      <c r="F91" t="s">
        <v>18</v>
      </c>
      <c r="G91" t="s">
        <v>19</v>
      </c>
      <c r="H91" t="s">
        <v>21</v>
      </c>
      <c r="I91" t="str">
        <f>IF(D91&gt;=40,"Pass","Fail")</f>
        <v>Pass</v>
      </c>
    </row>
    <row r="92" spans="1:9" x14ac:dyDescent="0.4">
      <c r="A92">
        <v>91</v>
      </c>
      <c r="B92" t="s">
        <v>8</v>
      </c>
      <c r="C92" t="s">
        <v>9</v>
      </c>
      <c r="D92">
        <v>39</v>
      </c>
      <c r="E92">
        <v>51</v>
      </c>
      <c r="F92" t="s">
        <v>18</v>
      </c>
      <c r="G92" t="s">
        <v>19</v>
      </c>
      <c r="H92" t="s">
        <v>21</v>
      </c>
      <c r="I92" t="str">
        <f>IF(D92&gt;=40,"Pass","Fail")</f>
        <v>Fail</v>
      </c>
    </row>
    <row r="93" spans="1:9" x14ac:dyDescent="0.4">
      <c r="A93">
        <v>92</v>
      </c>
      <c r="B93" t="s">
        <v>59</v>
      </c>
      <c r="C93" t="s">
        <v>17</v>
      </c>
      <c r="D93">
        <v>59</v>
      </c>
      <c r="E93">
        <v>95</v>
      </c>
      <c r="F93" t="s">
        <v>10</v>
      </c>
      <c r="G93" t="s">
        <v>11</v>
      </c>
      <c r="H93" t="s">
        <v>12</v>
      </c>
      <c r="I93" t="str">
        <f>IF(D93&gt;=40,"Pass","Fail")</f>
        <v>Pass</v>
      </c>
    </row>
    <row r="94" spans="1:9" x14ac:dyDescent="0.4">
      <c r="A94">
        <v>93</v>
      </c>
      <c r="B94" t="s">
        <v>33</v>
      </c>
      <c r="C94" t="s">
        <v>14</v>
      </c>
      <c r="D94">
        <v>55</v>
      </c>
      <c r="E94">
        <v>48</v>
      </c>
      <c r="F94" t="s">
        <v>18</v>
      </c>
      <c r="G94" t="s">
        <v>19</v>
      </c>
      <c r="H94" t="s">
        <v>21</v>
      </c>
      <c r="I94" t="str">
        <f>IF(D94&gt;=40,"Pass","Fail")</f>
        <v>Pass</v>
      </c>
    </row>
    <row r="95" spans="1:9" x14ac:dyDescent="0.4">
      <c r="A95">
        <v>94</v>
      </c>
      <c r="B95" t="s">
        <v>51</v>
      </c>
      <c r="C95" t="s">
        <v>14</v>
      </c>
      <c r="D95">
        <v>76</v>
      </c>
      <c r="E95">
        <v>98</v>
      </c>
      <c r="F95" t="s">
        <v>15</v>
      </c>
      <c r="G95" t="s">
        <v>11</v>
      </c>
      <c r="H95" t="s">
        <v>12</v>
      </c>
      <c r="I95" t="str">
        <f>IF(D95&gt;=40,"Pass","Fail")</f>
        <v>Pass</v>
      </c>
    </row>
    <row r="96" spans="1:9" x14ac:dyDescent="0.4">
      <c r="A96">
        <v>95</v>
      </c>
      <c r="B96" t="s">
        <v>52</v>
      </c>
      <c r="C96" t="s">
        <v>17</v>
      </c>
      <c r="D96">
        <v>91</v>
      </c>
      <c r="E96">
        <v>80</v>
      </c>
      <c r="F96" t="s">
        <v>15</v>
      </c>
      <c r="G96" t="s">
        <v>11</v>
      </c>
      <c r="H96" t="s">
        <v>12</v>
      </c>
      <c r="I96" t="str">
        <f>IF(D96&gt;=40,"Pass","Fail")</f>
        <v>Pass</v>
      </c>
    </row>
    <row r="97" spans="1:9" x14ac:dyDescent="0.4">
      <c r="A97">
        <v>96</v>
      </c>
      <c r="B97" t="s">
        <v>8</v>
      </c>
      <c r="C97" t="s">
        <v>14</v>
      </c>
      <c r="D97">
        <v>76</v>
      </c>
      <c r="E97">
        <v>54</v>
      </c>
      <c r="F97" t="s">
        <v>18</v>
      </c>
      <c r="G97" t="s">
        <v>19</v>
      </c>
      <c r="H97" t="s">
        <v>21</v>
      </c>
      <c r="I97" t="str">
        <f>IF(D97&gt;=40,"Pass","Fail")</f>
        <v>Pass</v>
      </c>
    </row>
    <row r="98" spans="1:9" x14ac:dyDescent="0.4">
      <c r="A98">
        <v>97</v>
      </c>
      <c r="B98" t="s">
        <v>28</v>
      </c>
      <c r="C98" t="s">
        <v>17</v>
      </c>
      <c r="D98">
        <v>55</v>
      </c>
      <c r="E98">
        <v>67</v>
      </c>
      <c r="F98" t="s">
        <v>10</v>
      </c>
      <c r="G98" t="s">
        <v>11</v>
      </c>
      <c r="H98" t="s">
        <v>12</v>
      </c>
      <c r="I98" t="str">
        <f>IF(D98&gt;=40,"Pass","Fail")</f>
        <v>Pass</v>
      </c>
    </row>
    <row r="99" spans="1:9" x14ac:dyDescent="0.4">
      <c r="A99">
        <v>98</v>
      </c>
      <c r="B99" t="s">
        <v>60</v>
      </c>
      <c r="C99" t="s">
        <v>17</v>
      </c>
      <c r="D99">
        <v>85</v>
      </c>
      <c r="E99">
        <v>48</v>
      </c>
      <c r="F99" t="s">
        <v>18</v>
      </c>
      <c r="G99" t="s">
        <v>19</v>
      </c>
      <c r="H99" t="s">
        <v>21</v>
      </c>
      <c r="I99" t="str">
        <f>IF(D99&gt;=40,"Pass","Fail")</f>
        <v>Pass</v>
      </c>
    </row>
    <row r="100" spans="1:9" x14ac:dyDescent="0.4">
      <c r="A100">
        <v>99</v>
      </c>
      <c r="B100" t="s">
        <v>35</v>
      </c>
      <c r="C100" t="s">
        <v>14</v>
      </c>
      <c r="D100">
        <v>95</v>
      </c>
      <c r="E100">
        <v>68</v>
      </c>
      <c r="F100" t="s">
        <v>15</v>
      </c>
      <c r="G100" t="s">
        <v>11</v>
      </c>
      <c r="H100" t="s">
        <v>12</v>
      </c>
      <c r="I100" t="str">
        <f>IF(D100&gt;=40,"Pass","Fail")</f>
        <v>Pass</v>
      </c>
    </row>
    <row r="101" spans="1:9" x14ac:dyDescent="0.4">
      <c r="A101">
        <v>100</v>
      </c>
      <c r="B101" t="s">
        <v>60</v>
      </c>
      <c r="C101" t="s">
        <v>17</v>
      </c>
      <c r="D101">
        <v>38</v>
      </c>
      <c r="E101">
        <v>53</v>
      </c>
      <c r="F101" t="s">
        <v>18</v>
      </c>
      <c r="G101" t="s">
        <v>19</v>
      </c>
      <c r="H101" t="s">
        <v>21</v>
      </c>
      <c r="I101" t="str">
        <f>IF(D101&gt;=40,"Pass","Fail")</f>
        <v>Fail</v>
      </c>
    </row>
    <row r="102" spans="1:9" x14ac:dyDescent="0.4">
      <c r="I102" t="str">
        <f>IF(D102&gt;=40,"Pass","Fail")</f>
        <v>Fail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F5E51-20F7-48CF-AE1B-3A843EA28910}">
  <dimension ref="A3:B8"/>
  <sheetViews>
    <sheetView topLeftCell="A2" workbookViewId="0">
      <selection activeCell="A3" sqref="A3"/>
    </sheetView>
  </sheetViews>
  <sheetFormatPr defaultRowHeight="14.6" x14ac:dyDescent="0.4"/>
  <cols>
    <col min="1" max="1" width="12.4609375" bestFit="1" customWidth="1"/>
    <col min="2" max="2" width="15" bestFit="1" customWidth="1"/>
  </cols>
  <sheetData>
    <row r="3" spans="1:2" x14ac:dyDescent="0.4">
      <c r="A3" s="1" t="s">
        <v>69</v>
      </c>
      <c r="B3" t="s">
        <v>72</v>
      </c>
    </row>
    <row r="4" spans="1:2" x14ac:dyDescent="0.4">
      <c r="A4" s="2" t="s">
        <v>14</v>
      </c>
      <c r="B4" s="3">
        <v>59.735294117647058</v>
      </c>
    </row>
    <row r="5" spans="1:2" x14ac:dyDescent="0.4">
      <c r="A5" s="2" t="s">
        <v>9</v>
      </c>
      <c r="B5" s="3">
        <v>63.185185185185183</v>
      </c>
    </row>
    <row r="6" spans="1:2" x14ac:dyDescent="0.4">
      <c r="A6" s="2" t="s">
        <v>17</v>
      </c>
      <c r="B6" s="3">
        <v>63.948717948717949</v>
      </c>
    </row>
    <row r="7" spans="1:2" x14ac:dyDescent="0.4">
      <c r="A7" s="2" t="s">
        <v>70</v>
      </c>
      <c r="B7" s="3"/>
    </row>
    <row r="8" spans="1:2" x14ac:dyDescent="0.4">
      <c r="A8" s="2" t="s">
        <v>71</v>
      </c>
      <c r="B8" s="3">
        <v>62.31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2F580-97ED-42C9-9703-8613C8244117}">
  <dimension ref="A3:B7"/>
  <sheetViews>
    <sheetView tabSelected="1" workbookViewId="0">
      <selection activeCell="B16" sqref="B16"/>
    </sheetView>
  </sheetViews>
  <sheetFormatPr defaultRowHeight="14.6" x14ac:dyDescent="0.4"/>
  <cols>
    <col min="1" max="1" width="12.4609375" bestFit="1" customWidth="1"/>
    <col min="2" max="2" width="16.23046875" bestFit="1" customWidth="1"/>
  </cols>
  <sheetData>
    <row r="3" spans="1:2" x14ac:dyDescent="0.4">
      <c r="A3" s="1" t="s">
        <v>69</v>
      </c>
      <c r="B3" t="s">
        <v>73</v>
      </c>
    </row>
    <row r="4" spans="1:2" x14ac:dyDescent="0.4">
      <c r="A4" s="2" t="s">
        <v>11</v>
      </c>
      <c r="B4" s="3">
        <v>2682</v>
      </c>
    </row>
    <row r="5" spans="1:2" x14ac:dyDescent="0.4">
      <c r="A5" s="2" t="s">
        <v>19</v>
      </c>
      <c r="B5" s="3">
        <v>2368</v>
      </c>
    </row>
    <row r="6" spans="1:2" x14ac:dyDescent="0.4">
      <c r="A6" s="2" t="s">
        <v>70</v>
      </c>
      <c r="B6" s="3"/>
    </row>
    <row r="7" spans="1:2" x14ac:dyDescent="0.4">
      <c r="A7" s="2" t="s">
        <v>71</v>
      </c>
      <c r="B7" s="3">
        <v>5050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F7C54-197E-4B44-942C-C69CDA8E5D82}">
  <dimension ref="A1:B2"/>
  <sheetViews>
    <sheetView workbookViewId="0">
      <selection activeCell="B2" sqref="B2"/>
    </sheetView>
  </sheetViews>
  <sheetFormatPr defaultRowHeight="14.6" x14ac:dyDescent="0.4"/>
  <sheetData>
    <row r="1" spans="1:2" x14ac:dyDescent="0.4">
      <c r="A1" t="s">
        <v>62</v>
      </c>
      <c r="B1" t="s">
        <v>3</v>
      </c>
    </row>
    <row r="2" spans="1:2" x14ac:dyDescent="0.4">
      <c r="A2">
        <v>1</v>
      </c>
      <c r="B2">
        <f>VLOOKUP(A2,Student_Performance!A:D,4,FALSE)</f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Student_Performance</vt:lpstr>
      <vt:lpstr>PivotTable1</vt:lpstr>
      <vt:lpstr>PivotTable2</vt:lpstr>
      <vt:lpstr>VLookUp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Prachi Shete</cp:lastModifiedBy>
  <dcterms:created xsi:type="dcterms:W3CDTF">2026-01-14T14:38:28Z</dcterms:created>
  <dcterms:modified xsi:type="dcterms:W3CDTF">2026-01-14T16:36:21Z</dcterms:modified>
</cp:coreProperties>
</file>